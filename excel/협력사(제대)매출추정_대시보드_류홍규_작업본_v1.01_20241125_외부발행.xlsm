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_�Ā_" hidePivotFieldList="1"/>
  <mc:AlternateContent xmlns:mc="http://schemas.openxmlformats.org/markup-compatibility/2006">
    <mc:Choice Requires="x15">
      <x15ac:absPath xmlns:x15ac="http://schemas.microsoft.com/office/spreadsheetml/2010/11/ac" url="https://d.docs.live.net/2218a9f99e8526b4/Desktop/류홍규_파일관리/협력사(제대)매출추정_대시보드_류홍규/"/>
    </mc:Choice>
  </mc:AlternateContent>
  <xr:revisionPtr revIDLastSave="69" documentId="13_ncr:1_{0F8A68C7-C93A-4256-93BA-C90EF57CAC06}" xr6:coauthVersionLast="47" xr6:coauthVersionMax="47" xr10:uidLastSave="{9DA56262-04B6-4C73-B205-46A35A1B420A}"/>
  <bookViews>
    <workbookView xWindow="-28920" yWindow="-120" windowWidth="29040" windowHeight="15720" tabRatio="985" xr2:uid="{00000000-000D-0000-FFFF-FFFF00000000}"/>
  </bookViews>
  <sheets>
    <sheet name="대시보드" sheetId="5" r:id="rId1"/>
    <sheet name="12월쿼리" sheetId="106" r:id="rId2"/>
    <sheet name="쿼리_피벗" sheetId="1" r:id="rId3"/>
  </sheets>
  <definedNames>
    <definedName name="_xleta.AND" hidden="1" xlm="1">#NAME?</definedName>
    <definedName name="_xleta.IF" hidden="1" xlm="1">#NAME?</definedName>
    <definedName name="ExternalData_2" localSheetId="1" hidden="1">'12월쿼리'!$A$1:$Q$256</definedName>
  </definedNames>
  <calcPr calcId="191029"/>
  <pivotCaches>
    <pivotCache cacheId="8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5" l="1"/>
  <c r="O6" i="5"/>
  <c r="C6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2C9402-216A-48C3-B45D-371970F4788B}" keepAlive="1" name="쿼리 - 쿼리1" description="통합 문서의 '쿼리1' 쿼리에 대한 연결입니다." type="5" refreshedVersion="8" background="1" saveData="1">
    <dbPr connection="Provider=Microsoft.Mashup.OleDb.1;Data Source=$Workbook$;Location=쿼리1;Extended Properties=&quot;&quot;" command="SELECT * FROM [쿼리1]"/>
  </connection>
</connections>
</file>

<file path=xl/sharedStrings.xml><?xml version="1.0" encoding="utf-8"?>
<sst xmlns="http://schemas.openxmlformats.org/spreadsheetml/2006/main" count="2867" uniqueCount="830">
  <si>
    <t>주문번호</t>
  </si>
  <si>
    <t>주문일자</t>
  </si>
  <si>
    <t>외주처명</t>
  </si>
  <si>
    <t>공정코드</t>
  </si>
  <si>
    <t>공정납기일</t>
  </si>
  <si>
    <t>작업지시량</t>
  </si>
  <si>
    <t>품목이름</t>
  </si>
  <si>
    <t>품목타입</t>
  </si>
  <si>
    <t>제대타입</t>
  </si>
  <si>
    <t>품목너비</t>
  </si>
  <si>
    <t>모든팩</t>
  </si>
  <si>
    <t>05</t>
  </si>
  <si>
    <t>052</t>
  </si>
  <si>
    <t>진포장</t>
  </si>
  <si>
    <t>나이론(투명)105</t>
  </si>
  <si>
    <t>패트90</t>
  </si>
  <si>
    <t>오씨피피(유무광)80</t>
  </si>
  <si>
    <t>나이론100</t>
  </si>
  <si>
    <t>엠에스팩</t>
  </si>
  <si>
    <t>20241025</t>
  </si>
  <si>
    <t>전투지120=무지</t>
  </si>
  <si>
    <t>=200x300=삼방-지퍼-2단걸이</t>
  </si>
  <si>
    <t>패트100</t>
  </si>
  <si>
    <t>나이론70</t>
  </si>
  <si>
    <t>019</t>
  </si>
  <si>
    <t>나이론80</t>
  </si>
  <si>
    <t>나이론110</t>
  </si>
  <si>
    <t>180x185=삼방-2폭</t>
  </si>
  <si>
    <t>오씨피피(투명)80</t>
  </si>
  <si>
    <t>230x300=삼방-지퍼(하단오픈)</t>
  </si>
  <si>
    <t>나이론(유백/유무광)115</t>
  </si>
  <si>
    <t>패트140</t>
  </si>
  <si>
    <t>046</t>
  </si>
  <si>
    <t>026</t>
  </si>
  <si>
    <t>나이론70=무지=무지</t>
  </si>
  <si>
    <t>==250x350=삼방</t>
  </si>
  <si>
    <t>089</t>
  </si>
  <si>
    <t>나이론70=무지</t>
  </si>
  <si>
    <t>280x380=삼방</t>
  </si>
  <si>
    <t>230x320=삼방</t>
  </si>
  <si>
    <t>400x500=삼방</t>
  </si>
  <si>
    <t>400x600=삼방</t>
  </si>
  <si>
    <t>나이론60</t>
  </si>
  <si>
    <t>200x300=삼방</t>
  </si>
  <si>
    <t>250x450=삼방</t>
  </si>
  <si>
    <t>나이론60=무지=무지</t>
  </si>
  <si>
    <t>=250x350=삼방</t>
  </si>
  <si>
    <t>나이론60=무지</t>
  </si>
  <si>
    <t>=250x450=삼방</t>
  </si>
  <si>
    <t>180x280=삼방</t>
  </si>
  <si>
    <t>250x400=삼방</t>
  </si>
  <si>
    <t>048</t>
  </si>
  <si>
    <t>150x220+40=삼방스탠드-타원밑지분리형-지퍼</t>
  </si>
  <si>
    <t>진지스120</t>
  </si>
  <si>
    <t>180x260+50=삼방스탠드-타원밑지분리형-지퍼</t>
  </si>
  <si>
    <t>200x300+55=삼방스탠드-타원밑지분리형-지퍼</t>
  </si>
  <si>
    <t>130x200+35=삼방스탠드-타원밑지분리형-지퍼</t>
  </si>
  <si>
    <t>20241028</t>
  </si>
  <si>
    <t>195x260=삼방-지퍼(하단오픈)</t>
  </si>
  <si>
    <t>250mm*300mm=삼방-지퍼</t>
  </si>
  <si>
    <t>20241112</t>
  </si>
  <si>
    <t>170mm*260mm=삼방-지퍼-타공4개(8mm)</t>
  </si>
  <si>
    <t>20241114</t>
  </si>
  <si>
    <t>20241111</t>
  </si>
  <si>
    <t>나이론(유백/유무광)105</t>
  </si>
  <si>
    <t>200x450=삼방</t>
  </si>
  <si>
    <t>20241113</t>
  </si>
  <si>
    <t>20241115</t>
  </si>
  <si>
    <t>350x600=삼방</t>
  </si>
  <si>
    <t>20241121</t>
  </si>
  <si>
    <t>320x400=삼방</t>
  </si>
  <si>
    <t>120x180+30=삼방스탠드-타원밑지분리형</t>
  </si>
  <si>
    <t>은박120</t>
  </si>
  <si>
    <t>총합계</t>
  </si>
  <si>
    <t>업체명</t>
  </si>
  <si>
    <t>협력사(제대) 예상 매출액</t>
    <phoneticPr fontId="4" type="noConversion"/>
  </si>
  <si>
    <t>월</t>
    <phoneticPr fontId="4" type="noConversion"/>
  </si>
  <si>
    <t>모든팩</t>
    <phoneticPr fontId="4" type="noConversion"/>
  </si>
  <si>
    <t>엠에스팩</t>
    <phoneticPr fontId="4" type="noConversion"/>
  </si>
  <si>
    <t>진포장</t>
    <phoneticPr fontId="4" type="noConversion"/>
  </si>
  <si>
    <t>패트(유무광)100</t>
  </si>
  <si>
    <t>091</t>
  </si>
  <si>
    <t>230mm*290mm=삼방</t>
  </si>
  <si>
    <t>[구이 2-18]나이론(자동포장용)100</t>
  </si>
  <si>
    <t>240x280=삼방</t>
  </si>
  <si>
    <t>나이론105</t>
  </si>
  <si>
    <t>300mm*420mm=삼방</t>
  </si>
  <si>
    <t>패트60</t>
  </si>
  <si>
    <t>500x650=삼방꼬리</t>
  </si>
  <si>
    <t>삼방-2폭-HD씨링</t>
  </si>
  <si>
    <t>삼방꼬리-HD씨링</t>
  </si>
  <si>
    <t>090</t>
  </si>
  <si>
    <t>삼방-HD씨링</t>
  </si>
  <si>
    <t>삼방-지퍼</t>
  </si>
  <si>
    <t>삼방꼬리</t>
  </si>
  <si>
    <t>022</t>
  </si>
  <si>
    <t>삼방-2폭</t>
  </si>
  <si>
    <t>삼방</t>
  </si>
  <si>
    <t>018</t>
  </si>
  <si>
    <t>품목높이</t>
  </si>
  <si>
    <t>150x200=삼방-2폭</t>
  </si>
  <si>
    <t>250x310=삼방</t>
  </si>
  <si>
    <t>100x150=삼방-2폭</t>
  </si>
  <si>
    <t>나이론(유무광)70</t>
  </si>
  <si>
    <t>230mm*320mm=삼방</t>
  </si>
  <si>
    <t>250mm*320mm=삼방</t>
  </si>
  <si>
    <t>패트92</t>
  </si>
  <si>
    <t>나이론95</t>
  </si>
  <si>
    <t>나이론90</t>
  </si>
  <si>
    <t>250x340=삼방</t>
  </si>
  <si>
    <t>280mm*380mm=삼방</t>
  </si>
  <si>
    <t>160x200=삼방</t>
  </si>
  <si>
    <t>패트(무광)100</t>
  </si>
  <si>
    <t>은박90</t>
  </si>
  <si>
    <t>210x210=삼방</t>
  </si>
  <si>
    <t>350mm*450mm=삼방</t>
  </si>
  <si>
    <t>나이론(옥텐)90</t>
  </si>
  <si>
    <t>250mm*305mm=삼방</t>
  </si>
  <si>
    <t>나이론120</t>
  </si>
  <si>
    <t>200mm*300mm=삼방</t>
  </si>
  <si>
    <t>310x340=삼방</t>
  </si>
  <si>
    <t>나이론(옥텐)100</t>
  </si>
  <si>
    <t>300x405=삼방</t>
  </si>
  <si>
    <t>270x700=삼방꼬리</t>
  </si>
  <si>
    <t>나이론(옥텐)140</t>
  </si>
  <si>
    <t>400x550=삼방꼬리</t>
  </si>
  <si>
    <t>350mm*650mm=삼방꼬리-HD씨링</t>
  </si>
  <si>
    <t>300mm*320mm=삼방</t>
  </si>
  <si>
    <t>20241118</t>
  </si>
  <si>
    <t>은박150</t>
  </si>
  <si>
    <t>오씨피피(투명)70</t>
  </si>
  <si>
    <t>250mm*320mm=삼방꼬리</t>
  </si>
  <si>
    <t>삼방스탠드-지퍼</t>
  </si>
  <si>
    <t>삼방스탠드</t>
  </si>
  <si>
    <t>2단삼방-지퍼</t>
  </si>
  <si>
    <t>삼방-[구이 2-18]나이론(자동포장용)100-240</t>
  </si>
  <si>
    <t>삼방-2폭-HD씨링-나이론70-100</t>
  </si>
  <si>
    <t>삼방-2폭-HD씨링-나이론70-150</t>
  </si>
  <si>
    <t>삼방-2폭-나이론110-180</t>
  </si>
  <si>
    <t>삼방-HD씨링-나이론60-200</t>
  </si>
  <si>
    <t>삼방-HD씨링-나이론70-180</t>
  </si>
  <si>
    <t>삼방-HD씨링-나이론70-230</t>
  </si>
  <si>
    <t>삼방-HD씨링-나이론70-250</t>
  </si>
  <si>
    <t>삼방-HD씨링-나이론70-400</t>
  </si>
  <si>
    <t>삼방꼬리-HD씨링-나이론70-500</t>
  </si>
  <si>
    <t>삼방-나이론(옥텐)100-300</t>
  </si>
  <si>
    <t>삼방-나이론(옥텐)90-250</t>
  </si>
  <si>
    <t>삼방-나이론(유백/유무광)105-230</t>
  </si>
  <si>
    <t>삼방-나이론100-250</t>
  </si>
  <si>
    <t>삼방-나이론105-300</t>
  </si>
  <si>
    <t>삼방-나이론60-350</t>
  </si>
  <si>
    <t>삼방-나이론70-200</t>
  </si>
  <si>
    <t>삼방-나이론70-230</t>
  </si>
  <si>
    <t>삼방-나이론70-250</t>
  </si>
  <si>
    <t>삼방-나이론70-350</t>
  </si>
  <si>
    <t>삼방-나이론80-250</t>
  </si>
  <si>
    <t>삼방-나이론95-210</t>
  </si>
  <si>
    <t>삼방스탠드-지퍼-진지스120-130</t>
  </si>
  <si>
    <t>삼방스탠드-지퍼-진지스120-150</t>
  </si>
  <si>
    <t>삼방스탠드-지퍼-진지스120-200</t>
  </si>
  <si>
    <t>삼방-지퍼-나이론(유백/유무광)115-250</t>
  </si>
  <si>
    <t>삼방-지퍼-나이론100-320</t>
  </si>
  <si>
    <t>삼방-패트(유무광)100-220</t>
  </si>
  <si>
    <t>삼방-패트60-160</t>
  </si>
  <si>
    <t>단가key</t>
  </si>
  <si>
    <t>삼방-지퍼-오씨피피(투명)80-195</t>
  </si>
  <si>
    <t>삼방-지퍼-오씨피피(투명)80-250</t>
  </si>
  <si>
    <t>삼방스탠드-지퍼-은지스120-150</t>
  </si>
  <si>
    <t>삼방스탠드-패트140-120</t>
  </si>
  <si>
    <t>삼방꼬리-나이론70-270</t>
  </si>
  <si>
    <t>삼방-HD씨링-나이론70=무지=무지-250</t>
  </si>
  <si>
    <t>삼방-HD씨링-나이론70=무지-200</t>
  </si>
  <si>
    <t>삼방-나이론70-330</t>
  </si>
  <si>
    <t>삼방-나이론70-280</t>
  </si>
  <si>
    <t>삼방-은박90-210</t>
  </si>
  <si>
    <t>삼방-지퍼-나이론80-300</t>
  </si>
  <si>
    <t>삼방-나이론105-270</t>
  </si>
  <si>
    <t>삼방-나이론100-280</t>
  </si>
  <si>
    <t>삼방-지퍼-오씨피피(투명)70-230</t>
  </si>
  <si>
    <t>삼방꼬리-나이론(옥텐)140-400</t>
  </si>
  <si>
    <t>삼방-나이론70-310</t>
  </si>
  <si>
    <t>삼방-HD씨링-나이론70=무지-280</t>
  </si>
  <si>
    <t>패트(유무광)80</t>
  </si>
  <si>
    <t>20241119</t>
  </si>
  <si>
    <t>20241120</t>
  </si>
  <si>
    <t>Sum of estimate_price</t>
  </si>
  <si>
    <t>삼방-HD씨링-나이론70-320</t>
  </si>
  <si>
    <t>삼방꼬리-오씨피피(투명)70-250</t>
  </si>
  <si>
    <t>삼방-지퍼-패트90-170</t>
  </si>
  <si>
    <t>삼방-패트(무광)100-300</t>
  </si>
  <si>
    <t>삼방-HD씨링-나이론70=무지-350</t>
  </si>
  <si>
    <t>삼방꼬리-HD씨링-나이론70-350</t>
  </si>
  <si>
    <t>320mm*430mm=삼방-지퍼</t>
  </si>
  <si>
    <t>350x450=삼방꼬리</t>
  </si>
  <si>
    <t>나이론130</t>
  </si>
  <si>
    <t>단가수정key</t>
  </si>
  <si>
    <t>삼방꼬리-오씨피피(투명)70-320</t>
  </si>
  <si>
    <t>삼방꼬리-나이론70-700</t>
  </si>
  <si>
    <t>삼방꼬리-나이론(옥텐)140-550</t>
  </si>
  <si>
    <t>CD_JAEDAETYPE</t>
  </si>
  <si>
    <t>basic_price</t>
  </si>
  <si>
    <t>unit_price</t>
  </si>
  <si>
    <t>estimate_price</t>
  </si>
  <si>
    <t>20241025-900008</t>
  </si>
  <si>
    <t>20241202</t>
  </si>
  <si>
    <t>20241025-900012</t>
  </si>
  <si>
    <t>20241203</t>
  </si>
  <si>
    <t>20241111-1000136128</t>
  </si>
  <si>
    <t>20241126</t>
  </si>
  <si>
    <t>20241112-900007</t>
  </si>
  <si>
    <t>20241205</t>
  </si>
  <si>
    <t>20241112-903002</t>
  </si>
  <si>
    <t>20241128</t>
  </si>
  <si>
    <t>20241113-1000169600</t>
  </si>
  <si>
    <t>20241127</t>
  </si>
  <si>
    <t>패트(유백/유무광)82</t>
  </si>
  <si>
    <t>400mm*290mm+45mm=삼방스탠드</t>
  </si>
  <si>
    <t>삼방스탠드-패트(유백/유무광)82-400</t>
  </si>
  <si>
    <t>20241113-1000169601</t>
  </si>
  <si>
    <t>240mm*365mm=삼방-지퍼</t>
  </si>
  <si>
    <t>삼방-지퍼-오씨피피(유무광)80-240</t>
  </si>
  <si>
    <t>20241113-1219P0390</t>
  </si>
  <si>
    <t>20241113-130441</t>
  </si>
  <si>
    <t>20241114-1000149558</t>
  </si>
  <si>
    <t>180x200=삼방</t>
  </si>
  <si>
    <t>삼방-나이론130-180</t>
  </si>
  <si>
    <t>20241114-1000156840</t>
  </si>
  <si>
    <t>310mm*330mm=삼방</t>
  </si>
  <si>
    <t>20241114-1000163860</t>
  </si>
  <si>
    <t>20241114-1000165171</t>
  </si>
  <si>
    <t>260mm*320mm=삼방-지퍼</t>
  </si>
  <si>
    <t>삼방-지퍼-나이론(투명)105-260</t>
  </si>
  <si>
    <t>20241114-1420N0015</t>
  </si>
  <si>
    <t>나이론100 (120g)</t>
  </si>
  <si>
    <t>200mm*360mm=삼방</t>
  </si>
  <si>
    <t>삼방-나이론100 (120g)-200</t>
  </si>
  <si>
    <t>20241114-900002</t>
  </si>
  <si>
    <t>20241129</t>
  </si>
  <si>
    <t>20241114-900005</t>
  </si>
  <si>
    <t>20241212</t>
  </si>
  <si>
    <t>20241114-903004</t>
  </si>
  <si>
    <t>20241114-903005</t>
  </si>
  <si>
    <t>20241115-1000151408</t>
  </si>
  <si>
    <t>나이론(투명)95</t>
  </si>
  <si>
    <t>250mm*370mm=삼방-지퍼</t>
  </si>
  <si>
    <t>삼방-지퍼-나이론(투명)95-250</t>
  </si>
  <si>
    <t>20241115-1000167225</t>
  </si>
  <si>
    <t>300mm*520mm=삼방</t>
  </si>
  <si>
    <t>20241115-1000169584</t>
  </si>
  <si>
    <t>20241115-1000169630</t>
  </si>
  <si>
    <t>350x400=삼방</t>
  </si>
  <si>
    <t>20241115-1117P0099</t>
  </si>
  <si>
    <t>220x340=삼방</t>
  </si>
  <si>
    <t>삼방-나이론100-220</t>
  </si>
  <si>
    <t>20241115-12150501</t>
  </si>
  <si>
    <t>20241115-1219P0139</t>
  </si>
  <si>
    <t>삼방꼬리-나이론(유무광)70-350</t>
  </si>
  <si>
    <t>삼방꼬리-나이론(유무광)70-450</t>
  </si>
  <si>
    <t>20241115-140525</t>
  </si>
  <si>
    <t>20241115-914002</t>
  </si>
  <si>
    <t>삼방-지퍼-전투지120=무지-200</t>
  </si>
  <si>
    <t>20241118-1000146475</t>
  </si>
  <si>
    <t>20241118-1000158748</t>
  </si>
  <si>
    <t>80mm*150mm=삼방</t>
  </si>
  <si>
    <t>삼방-나이론120-80</t>
  </si>
  <si>
    <t>20241118-1000158749</t>
  </si>
  <si>
    <t>100mm*150mm=삼방</t>
  </si>
  <si>
    <t>삼방-나이론120-100</t>
  </si>
  <si>
    <t>20241118-1000159286</t>
  </si>
  <si>
    <t>은박(유무광)150</t>
  </si>
  <si>
    <t>105x290=삼방</t>
  </si>
  <si>
    <t>삼방-은박(유무광)150-105</t>
  </si>
  <si>
    <t>20241118-1000169444</t>
  </si>
  <si>
    <t>20241118-1117N0054</t>
  </si>
  <si>
    <t>20241118-1117N0055</t>
  </si>
  <si>
    <t>20241118-1217N0013</t>
  </si>
  <si>
    <t>20241118-130441</t>
  </si>
  <si>
    <t>20241118-900001</t>
  </si>
  <si>
    <t>20241206</t>
  </si>
  <si>
    <t>20241118-900004</t>
  </si>
  <si>
    <t>20241216</t>
  </si>
  <si>
    <t>20241118-900006</t>
  </si>
  <si>
    <t>20241118-900007</t>
  </si>
  <si>
    <t>20241209</t>
  </si>
  <si>
    <t>20241118-900008</t>
  </si>
  <si>
    <t>20241118-900009</t>
  </si>
  <si>
    <t>20241204</t>
  </si>
  <si>
    <t>20241118-900010</t>
  </si>
  <si>
    <t>20241118-900011</t>
  </si>
  <si>
    <t>20241118-900012</t>
  </si>
  <si>
    <t>20241118-900014</t>
  </si>
  <si>
    <t>20241118-900015</t>
  </si>
  <si>
    <t>20241118-900017</t>
  </si>
  <si>
    <t>20241213</t>
  </si>
  <si>
    <t>20241118-900023</t>
  </si>
  <si>
    <t>20241118-901001</t>
  </si>
  <si>
    <t>20241118-901002</t>
  </si>
  <si>
    <t>삼방-HD씨링-나이론60=무지=무지-250</t>
  </si>
  <si>
    <t>20241118-901003</t>
  </si>
  <si>
    <t>삼방-HD씨링-나이론60=무지-250</t>
  </si>
  <si>
    <t>20241118-901007</t>
  </si>
  <si>
    <t>삼방-HD씨링-나이론60-400</t>
  </si>
  <si>
    <t>20241118-911001</t>
  </si>
  <si>
    <t>&lt;단종&gt;은지스120</t>
  </si>
  <si>
    <t>100x170+30=삼방스탠드-타원밑지분리형-지퍼</t>
  </si>
  <si>
    <t>삼방스탠드-지퍼-&lt;단종&gt;은지스120-100</t>
  </si>
  <si>
    <t>20241118-911002</t>
  </si>
  <si>
    <t>은지스120</t>
  </si>
  <si>
    <t>20241118-911003</t>
  </si>
  <si>
    <t>삼방스탠드-지퍼-은지스120-180</t>
  </si>
  <si>
    <t>20241118-911004</t>
  </si>
  <si>
    <t>130*200+40=삼방스탠드-타원밑지분리형-지퍼</t>
  </si>
  <si>
    <t>삼방스탠드-지퍼-&lt;단종&gt;은지스120-130</t>
  </si>
  <si>
    <t>20241118-911005</t>
  </si>
  <si>
    <t>은지스130</t>
  </si>
  <si>
    <t>삼방스탠드-지퍼-은지스130-200</t>
  </si>
  <si>
    <t>20241119-1000141287</t>
  </si>
  <si>
    <t>300mm*390mm=삼방-지퍼</t>
  </si>
  <si>
    <t>삼방-지퍼-오씨피피(투명)70-300</t>
  </si>
  <si>
    <t>20241119-1000143472</t>
  </si>
  <si>
    <t>20241119-1000147192</t>
  </si>
  <si>
    <t>300mm*330mm=삼방</t>
  </si>
  <si>
    <t>삼방-은박150-300</t>
  </si>
  <si>
    <t>20241119-1000151738</t>
  </si>
  <si>
    <t>330x220=삼방-가분수</t>
  </si>
  <si>
    <t>20241119-1000156330</t>
  </si>
  <si>
    <t>250mm*340mm=삼방-지퍼</t>
  </si>
  <si>
    <t>20241119-1000160651</t>
  </si>
  <si>
    <t>270mm*290mm=삼방-지퍼</t>
  </si>
  <si>
    <t>삼방-지퍼-패트100-270</t>
  </si>
  <si>
    <t>20241119-1000165156</t>
  </si>
  <si>
    <t>패트(유백)60</t>
  </si>
  <si>
    <t>400x450+40=삼방풀발이-핫멜트</t>
  </si>
  <si>
    <t>2단삼방-지퍼-패트(유백)60-400</t>
  </si>
  <si>
    <t>20241119-1000165165</t>
  </si>
  <si>
    <t>20241119-1000169701</t>
  </si>
  <si>
    <t>20241119-1000169724</t>
  </si>
  <si>
    <t>250*350=삼방</t>
  </si>
  <si>
    <t>20241119-11150281</t>
  </si>
  <si>
    <t>20241119-1116P0191</t>
  </si>
  <si>
    <t>20241119-120429</t>
  </si>
  <si>
    <t>20241119-1219N0043</t>
  </si>
  <si>
    <t>20241119-131070</t>
  </si>
  <si>
    <t>20241119-13160067</t>
  </si>
  <si>
    <t>20241119-140857</t>
  </si>
  <si>
    <t>150x240=삼방</t>
  </si>
  <si>
    <t>삼방-은박120-150</t>
  </si>
  <si>
    <t>20241119-1419P0348</t>
  </si>
  <si>
    <t>20241120-1000137584</t>
  </si>
  <si>
    <t>20241120-1000139378</t>
  </si>
  <si>
    <t>20241120-1000167349</t>
  </si>
  <si>
    <t>270mm*350mm=삼방</t>
  </si>
  <si>
    <t>20241120-1000167482</t>
  </si>
  <si>
    <t>300mm*445mm=삼방-지퍼</t>
  </si>
  <si>
    <t>20241120-1000167761</t>
  </si>
  <si>
    <t>400mm*530mm=삼방</t>
  </si>
  <si>
    <t>삼방-패트100-400</t>
  </si>
  <si>
    <t>20241120-1000169417</t>
  </si>
  <si>
    <t>20241120-1000169634</t>
  </si>
  <si>
    <t>250mm*210mm=삼방</t>
  </si>
  <si>
    <t>20241120-1000169637</t>
  </si>
  <si>
    <t>250mm*300mm=삼방</t>
  </si>
  <si>
    <t>20241120-1000169726</t>
  </si>
  <si>
    <t>20241120-1000169728</t>
  </si>
  <si>
    <t>20241120-1000169734</t>
  </si>
  <si>
    <t>20241120-1119P0140</t>
  </si>
  <si>
    <t>삼방-나이론(유백/유무광)105-250</t>
  </si>
  <si>
    <t>20241120-13150291</t>
  </si>
  <si>
    <t>나이론85</t>
  </si>
  <si>
    <t>삼방-나이론85-180</t>
  </si>
  <si>
    <t>20241120-13160150</t>
  </si>
  <si>
    <t>20241120-1419P0353</t>
  </si>
  <si>
    <t>패트100=5도-참미유통)참미웰빙(미래푸드시스템)</t>
  </si>
  <si>
    <t>190x260=삼방-바람구멍1mm*2개</t>
  </si>
  <si>
    <t>삼방-패트100=5도-참미유통)참미웰빙(미래푸드시스템)-190</t>
  </si>
  <si>
    <t>12월 제대 업체 매출액 추정</t>
    <phoneticPr fontId="4" type="noConversion"/>
  </si>
  <si>
    <t>12월 업체별 제대종류 현황</t>
    <phoneticPr fontId="4" type="noConversion"/>
  </si>
  <si>
    <t>12월</t>
    <phoneticPr fontId="4" type="noConversion"/>
  </si>
  <si>
    <t>20241120-1000169370</t>
  </si>
  <si>
    <t>20241121-1000135557</t>
  </si>
  <si>
    <t>패씨피피80</t>
  </si>
  <si>
    <t>250x290+50=삼방풀발이-핫멜트</t>
  </si>
  <si>
    <t>2단삼방-지퍼-패씨피피80-250</t>
  </si>
  <si>
    <t>20241121-1000141177</t>
  </si>
  <si>
    <t>210x260=삼방(하단오픈)</t>
  </si>
  <si>
    <t>20241121-1000148794</t>
  </si>
  <si>
    <t>20241121-1000150850</t>
  </si>
  <si>
    <t>130mm*210mm=삼방-지퍼-고리구멍8mm</t>
  </si>
  <si>
    <t>삼방-지퍼-오씨피피(유무광)80-130</t>
  </si>
  <si>
    <t>20241121-1000156163</t>
  </si>
  <si>
    <t>350x550=삼방</t>
  </si>
  <si>
    <t>20241121-1000164439</t>
  </si>
  <si>
    <t>나이론(유백)70</t>
  </si>
  <si>
    <t>삼방-나이론(유백)70-350</t>
  </si>
  <si>
    <t>20241121-1000168067</t>
  </si>
  <si>
    <t>291mm*390mm=삼방</t>
  </si>
  <si>
    <t>삼방-패트92-291</t>
  </si>
  <si>
    <t>20241121-1000168075</t>
  </si>
  <si>
    <t>320mm*520mm=삼방</t>
  </si>
  <si>
    <t>삼방-패트92-320</t>
  </si>
  <si>
    <t>20241121-1118P0116</t>
  </si>
  <si>
    <t>190x270=삼방-지퍼</t>
  </si>
  <si>
    <t>삼방-지퍼-패트(유무광)80-190</t>
  </si>
  <si>
    <t>20241121-1119P0054</t>
  </si>
  <si>
    <t>220x280=삼방</t>
  </si>
  <si>
    <t>20241121-1218P0326</t>
  </si>
  <si>
    <t>420x500=삼방</t>
  </si>
  <si>
    <t>삼방-패트60-420</t>
  </si>
  <si>
    <t>20241121-13160022</t>
  </si>
  <si>
    <t>210x320=삼방</t>
  </si>
  <si>
    <t>삼방-나이론90-210</t>
  </si>
  <si>
    <t>20241122-1000161630</t>
  </si>
  <si>
    <t>20241122</t>
  </si>
  <si>
    <t>패나이론140</t>
  </si>
  <si>
    <t>180mm*190mm+50mm=삼방스탠드</t>
  </si>
  <si>
    <t>삼방스탠드-패나이론140-180</t>
  </si>
  <si>
    <t>20241122-1000165483</t>
  </si>
  <si>
    <t>패증착75</t>
  </si>
  <si>
    <t>110mm*270mm=삼방-상단고리구멍1개(8mm)</t>
  </si>
  <si>
    <t>삼방-패증착75-110</t>
  </si>
  <si>
    <t>20241122-1117P0060</t>
  </si>
  <si>
    <t>은박(유,무광)100</t>
  </si>
  <si>
    <t>115x160=삼방-2폭-모자타공</t>
  </si>
  <si>
    <t>삼방-2폭-은박(유,무광)100-115</t>
  </si>
  <si>
    <t>20241122-1119P0157</t>
  </si>
  <si>
    <t>패트70</t>
  </si>
  <si>
    <t>165x310=삼방-지퍼-모자타공(28*7mm)</t>
  </si>
  <si>
    <t>삼방-지퍼-패트70-165</t>
  </si>
  <si>
    <t>20241122-1216P0006</t>
  </si>
  <si>
    <t>20241125-1000138905</t>
  </si>
  <si>
    <t>300mm*410mm=삼방-바람구멍1개(2mm)</t>
  </si>
  <si>
    <t>삼방-패트(유무광)100-300</t>
  </si>
  <si>
    <t>20241125-1000139790</t>
  </si>
  <si>
    <t>220mm*300mm=삼방</t>
  </si>
  <si>
    <t>20241125-1000154950</t>
  </si>
  <si>
    <t>20241125</t>
  </si>
  <si>
    <t>160x250=삼방</t>
  </si>
  <si>
    <t>삼방-나이론70-160</t>
  </si>
  <si>
    <t>20241125-1000167833</t>
  </si>
  <si>
    <t>340mm*430mm=삼방</t>
  </si>
  <si>
    <t>삼방-나이론105-340</t>
  </si>
  <si>
    <t>20241125-1000169755</t>
  </si>
  <si>
    <t>패트120</t>
  </si>
  <si>
    <t>190x265=삼방</t>
  </si>
  <si>
    <t>삼방-패트120-190</t>
  </si>
  <si>
    <t>20241125-1000169762</t>
  </si>
  <si>
    <t>20241125-1000169769</t>
  </si>
  <si>
    <t>300mm*290mm=삼방</t>
  </si>
  <si>
    <t>20241125-1217P0081</t>
  </si>
  <si>
    <t>나이론70=1도-새물(27*40)</t>
  </si>
  <si>
    <t>270x400=삼방꼬리</t>
  </si>
  <si>
    <t>삼방꼬리-나이론70=1도-새물(27*40)-270</t>
  </si>
  <si>
    <t>삼방꼬리-나이론70=1도-새물(27*40)-400</t>
  </si>
  <si>
    <t>20241125-1220P0169</t>
  </si>
  <si>
    <t>20241125-1420P0163</t>
  </si>
  <si>
    <t>오씨피피(유무광)70</t>
  </si>
  <si>
    <t>230x310=삼방-지퍼(하단오픈)</t>
  </si>
  <si>
    <t>삼방-지퍼-오씨피피(유무광)70-230</t>
  </si>
  <si>
    <t>20241118-902002</t>
  </si>
  <si>
    <t>진지90</t>
  </si>
  <si>
    <t>200*300=삼방-지퍼</t>
  </si>
  <si>
    <t>삼방-지퍼-진지90-200</t>
  </si>
  <si>
    <t>20241121-904001</t>
  </si>
  <si>
    <t>패트110</t>
  </si>
  <si>
    <t>100x170+30=삼방스탠드-타원밑지분리형</t>
  </si>
  <si>
    <t>삼방스탠드-패트110-100</t>
  </si>
  <si>
    <t>20241121-904004</t>
  </si>
  <si>
    <t>180x260+50=삼방스탠드</t>
  </si>
  <si>
    <t>삼방스탠드-패트120-180</t>
  </si>
  <si>
    <t>20241121-914003</t>
  </si>
  <si>
    <t>=250x350=삼방-지퍼-2단걸이</t>
  </si>
  <si>
    <t>삼방-지퍼-전투지120=무지-250</t>
  </si>
  <si>
    <t>20241121-914501</t>
  </si>
  <si>
    <t>전투지스120=무지</t>
  </si>
  <si>
    <t>130x200+40=삼방스탠드-타원밑지분리형-지퍼-2단</t>
  </si>
  <si>
    <t>삼방스탠드-지퍼-전투지스120=무지-130</t>
  </si>
  <si>
    <t>20241121-930001</t>
  </si>
  <si>
    <t>크지스130</t>
  </si>
  <si>
    <t>130x200+35=삼방지퍼스텐드</t>
  </si>
  <si>
    <t>삼방스탠드-지퍼-크지스130-130</t>
  </si>
  <si>
    <t>20241121-930002</t>
  </si>
  <si>
    <t>삼방스탠드-지퍼-크지스130-150</t>
  </si>
  <si>
    <t>20241126-1000149879</t>
  </si>
  <si>
    <t>20241210</t>
  </si>
  <si>
    <t>400mm*500mm=삼방</t>
  </si>
  <si>
    <t>삼방-나이론70-400</t>
  </si>
  <si>
    <t>20241126-1000150889</t>
  </si>
  <si>
    <t>20241126-1000162500</t>
  </si>
  <si>
    <t>[염지 4-4]패나이론(고접착)140&lt;410&gt;</t>
  </si>
  <si>
    <t>350mm*410mm=삼방</t>
  </si>
  <si>
    <t>삼방-[염지 4-4]패나이론(고접착)140&lt;410&gt;-350</t>
  </si>
  <si>
    <t>20241126-1000164958</t>
  </si>
  <si>
    <t>20241126-1000169777</t>
  </si>
  <si>
    <t>패증착(무광)100</t>
  </si>
  <si>
    <t>150mm*170mm+35mm=삼방스탠드-지퍼</t>
  </si>
  <si>
    <t>삼방스탠드-지퍼-패증착(무광)100-150</t>
  </si>
  <si>
    <t>20241126-1000169799</t>
  </si>
  <si>
    <t>300mm*430mm=삼방</t>
  </si>
  <si>
    <t>삼방-나이론130-300</t>
  </si>
  <si>
    <t>20241126-11150166</t>
  </si>
  <si>
    <t>550x900=삼방꼬리</t>
  </si>
  <si>
    <t>삼방꼬리-나이론80-550</t>
  </si>
  <si>
    <t>삼방꼬리-나이론80-900</t>
  </si>
  <si>
    <t>20241126-11150297</t>
  </si>
  <si>
    <t>250x280=삼방-지퍼(하단오픈)</t>
  </si>
  <si>
    <t>20241126-1118P0206</t>
  </si>
  <si>
    <t>패증착(무광)120</t>
  </si>
  <si>
    <t>삼방스탠드-지퍼-패증착(무광)120-150</t>
  </si>
  <si>
    <t>20241126-131019</t>
  </si>
  <si>
    <t>400*650=삼방꼬리</t>
  </si>
  <si>
    <t>삼방꼬리-나이론60-400</t>
  </si>
  <si>
    <t>삼방꼬리-나이론60-650</t>
  </si>
  <si>
    <t>20241126-131020</t>
  </si>
  <si>
    <t>360mm*650mm=삼방꼬리</t>
  </si>
  <si>
    <t>삼방꼬리-나이론60-360</t>
  </si>
  <si>
    <t>20241126-131021</t>
  </si>
  <si>
    <t>350x450=삼방</t>
  </si>
  <si>
    <t>20241126-131022</t>
  </si>
  <si>
    <t>삼방-나이론60-250</t>
  </si>
  <si>
    <t>20241126-1318N0028</t>
  </si>
  <si>
    <t>320x320=삼방</t>
  </si>
  <si>
    <t>삼방-나이론70-320</t>
  </si>
  <si>
    <t>20241126-1619N0040</t>
  </si>
  <si>
    <t>350x650=삼방꼬리</t>
  </si>
  <si>
    <t>삼방꼬리-나이론60-350</t>
  </si>
  <si>
    <t>20241127-1000139380</t>
  </si>
  <si>
    <t>20241211</t>
  </si>
  <si>
    <t>140mm*220mm+40mm=삼방스탠드</t>
  </si>
  <si>
    <t>삼방스탠드-패트140-140</t>
  </si>
  <si>
    <t>20241127-1000140639</t>
  </si>
  <si>
    <t>150mm*220mm+40mm=삼방스탠드-지퍼</t>
  </si>
  <si>
    <t>삼방스탠드-지퍼-패트120-150</t>
  </si>
  <si>
    <t>20241127-1000163157</t>
  </si>
  <si>
    <t>나이론(유무광/유백/메탈로젠)130</t>
  </si>
  <si>
    <t>175mm*260mm+45mm=삼방스탠드</t>
  </si>
  <si>
    <t>삼방스탠드-나이론(유무광/유백/메탈로젠)130-175</t>
  </si>
  <si>
    <t>20241127-1000169841</t>
  </si>
  <si>
    <t>나이론(대방)80</t>
  </si>
  <si>
    <t>300mm*400mm=삼방</t>
  </si>
  <si>
    <t>삼방-나이론(대방)80-300</t>
  </si>
  <si>
    <t>20241127-1000169843</t>
  </si>
  <si>
    <t>20241127-1000169845</t>
  </si>
  <si>
    <t>350mm*400mm=삼방</t>
  </si>
  <si>
    <t>삼방-나이론(대방)80-350</t>
  </si>
  <si>
    <t>20241127-1000169847</t>
  </si>
  <si>
    <t>20241127-11150225</t>
  </si>
  <si>
    <t>320x480=삼방-사각라운드</t>
  </si>
  <si>
    <t>삼방-패트100-320</t>
  </si>
  <si>
    <t>20241128-1000137793</t>
  </si>
  <si>
    <t>나이론100 (400g)-사이즈변경</t>
  </si>
  <si>
    <t>260mm*415mm=삼방</t>
  </si>
  <si>
    <t>삼방-나이론100 (400g)-사이즈변경-260</t>
  </si>
  <si>
    <t>20241128-1000138205</t>
  </si>
  <si>
    <t>나이론100 (200g)-사이즈변경</t>
  </si>
  <si>
    <t>220mm*400mm=삼방</t>
  </si>
  <si>
    <t>삼방-나이론100 (200g)-사이즈변경-220</t>
  </si>
  <si>
    <t>20241128-1000148892</t>
  </si>
  <si>
    <t>패트(유무광)90</t>
  </si>
  <si>
    <t>210x300=삼방-지퍼-지퍼오픈</t>
  </si>
  <si>
    <t>삼방-지퍼-패트(유무광)90-210</t>
  </si>
  <si>
    <t>20241128-1000162732</t>
  </si>
  <si>
    <t>190mm*450mm=삼방</t>
  </si>
  <si>
    <t>삼방-나이론60-190</t>
  </si>
  <si>
    <t>20241128-1000165171</t>
  </si>
  <si>
    <t>20241128-1000166996</t>
  </si>
  <si>
    <t>280mm*330mm=삼방</t>
  </si>
  <si>
    <t>삼방-패트92-280</t>
  </si>
  <si>
    <t>20241128-1000167005</t>
  </si>
  <si>
    <t>280mm*330mm=삼방-지퍼</t>
  </si>
  <si>
    <t>삼방-지퍼-패트92-280</t>
  </si>
  <si>
    <t>20241128-1000167023</t>
  </si>
  <si>
    <t>300mm*380mm=삼방-지퍼</t>
  </si>
  <si>
    <t>삼방-지퍼-패트92-300</t>
  </si>
  <si>
    <t>20241128-1000167850</t>
  </si>
  <si>
    <t>패씨피피(투명)80</t>
  </si>
  <si>
    <t>290mm*390mm=삼방-지퍼</t>
  </si>
  <si>
    <t>삼방-지퍼-패씨피피(투명)80-290</t>
  </si>
  <si>
    <t>20241128-1000169860</t>
  </si>
  <si>
    <t>오피피(무광)80</t>
  </si>
  <si>
    <t>180mm*250mm=삼방-지퍼-상단고리구멍1개(5mm)-바람구멍1개(2mm)</t>
  </si>
  <si>
    <t>삼방-지퍼-오피피(무광)80-180</t>
  </si>
  <si>
    <t>20241128-1219P0268</t>
  </si>
  <si>
    <t>150x320=삼방-지퍼-고리구멍-바람구멍4mm*2개</t>
  </si>
  <si>
    <t>삼방-지퍼-오피피(무광)80-150</t>
  </si>
  <si>
    <t>20241129-1000150744</t>
  </si>
  <si>
    <t>400x650=삼방꼬리</t>
  </si>
  <si>
    <t>20241129-1000154732</t>
  </si>
  <si>
    <t>삼방꼬리-나이론(옥텐)100-400</t>
  </si>
  <si>
    <t>삼방꼬리-나이론(옥텐)100-550</t>
  </si>
  <si>
    <t>20241129-1000155583</t>
  </si>
  <si>
    <t>147mm*175mm=삼방-2폭</t>
  </si>
  <si>
    <t>삼방-2폭-나이론80-147</t>
  </si>
  <si>
    <t>20241129-1000156124</t>
  </si>
  <si>
    <t>110x170+35=삼방스탠드-타원밑지분리형-지퍼</t>
  </si>
  <si>
    <t>삼방스탠드-지퍼-패트120-110</t>
  </si>
  <si>
    <t>20241129-1000160038</t>
  </si>
  <si>
    <t>250mm*350mm=삼방</t>
  </si>
  <si>
    <t>20241129-1000165766</t>
  </si>
  <si>
    <t>오씨피피(무광)60</t>
  </si>
  <si>
    <t>100x205=삼방</t>
  </si>
  <si>
    <t>삼방-오씨피피(무광)60-100</t>
  </si>
  <si>
    <t>20241129-1000168406</t>
  </si>
  <si>
    <t>150mm*310mm=삼방</t>
  </si>
  <si>
    <t>삼방-나이론100-150</t>
  </si>
  <si>
    <t>20241129-1000168411</t>
  </si>
  <si>
    <t>130mm*280mm=삼방</t>
  </si>
  <si>
    <t>삼방-나이론100-130</t>
  </si>
  <si>
    <t>20241129-1000169782</t>
  </si>
  <si>
    <t>20241129-1000169868</t>
  </si>
  <si>
    <t>260mm*470mm=삼방</t>
  </si>
  <si>
    <t>삼방-나이론100-260</t>
  </si>
  <si>
    <t>20241129-1000169881</t>
  </si>
  <si>
    <t>280mm*350mm=삼방</t>
  </si>
  <si>
    <t>20241129-1117N0055</t>
  </si>
  <si>
    <t>20241129-2000169629</t>
  </si>
  <si>
    <t>PET100</t>
  </si>
  <si>
    <t>100mm*500mm=띠지</t>
  </si>
  <si>
    <t>066</t>
  </si>
  <si>
    <t>20241202-1000149508</t>
  </si>
  <si>
    <t>20241202-1000150743</t>
  </si>
  <si>
    <t>20241202-1000152102</t>
  </si>
  <si>
    <t>20241202-1000158450</t>
  </si>
  <si>
    <t>20241202-150095</t>
  </si>
  <si>
    <t>나이론(크린)80</t>
  </si>
  <si>
    <t>580x610=삼방</t>
  </si>
  <si>
    <t>삼방-나이론(크린)80-580</t>
  </si>
  <si>
    <t>20241203-1000143636</t>
  </si>
  <si>
    <t>나이론(메탈로젠)100</t>
  </si>
  <si>
    <t>170mm*210mm=삼방</t>
  </si>
  <si>
    <t>삼방-나이론(메탈로젠)100-170</t>
  </si>
  <si>
    <t>20241203-1000158633</t>
  </si>
  <si>
    <t>160mm*250mm=삼방</t>
  </si>
  <si>
    <t>20241203-1000169883</t>
  </si>
  <si>
    <t>정전기120</t>
  </si>
  <si>
    <t>290mm*370mm=삼방-바람구멍1개(5mm)[윤선생-무지]</t>
  </si>
  <si>
    <t>삼방-정전기120-290</t>
  </si>
  <si>
    <t>20241203-1117P0158</t>
  </si>
  <si>
    <t>350x370=삼방</t>
  </si>
  <si>
    <t>삼방-나이론80-350</t>
  </si>
  <si>
    <t>20241203-1319N0028</t>
  </si>
  <si>
    <t>20241219</t>
  </si>
  <si>
    <t>257x330=삼방-바람구멍1개(5mm)[윤선생-무지]</t>
  </si>
  <si>
    <t>삼방-정전기120-257</t>
  </si>
  <si>
    <t>20241204-1000147349</t>
  </si>
  <si>
    <t>오씨피피(투명)60</t>
  </si>
  <si>
    <t>90x150=삼방-2폭</t>
  </si>
  <si>
    <t>삼방-2폭-오씨피피(투명)60-90</t>
  </si>
  <si>
    <t>20241204-1000168502</t>
  </si>
  <si>
    <t>20241217</t>
  </si>
  <si>
    <t>20241204-1000169871</t>
  </si>
  <si>
    <t>20241218</t>
  </si>
  <si>
    <t>패트(투명)82</t>
  </si>
  <si>
    <t>삼방스탠드-패트(투명)82-400</t>
  </si>
  <si>
    <t>20241204-1000169920</t>
  </si>
  <si>
    <t>20241204-1000169928</t>
  </si>
  <si>
    <t>나이론(무광)120</t>
  </si>
  <si>
    <t>65mm*180mm=삼방</t>
  </si>
  <si>
    <t>삼방-나이론(무광)120-65</t>
  </si>
  <si>
    <t>20241204-13160151</t>
  </si>
  <si>
    <t>[구이 2-10]나이론(자동포장용)100</t>
  </si>
  <si>
    <t>240mm*280mm=삼방</t>
  </si>
  <si>
    <t>삼방-[구이 2-10]나이론(자동포장용)100-240</t>
  </si>
  <si>
    <t>20241204-1316P0076</t>
  </si>
  <si>
    <t>패씨피피60</t>
  </si>
  <si>
    <t>210x250=삼방-고리구멍8mm</t>
  </si>
  <si>
    <t>삼방-패씨피피60-210</t>
  </si>
  <si>
    <t>20241205-1000137856</t>
  </si>
  <si>
    <t>20241205-1000138052</t>
  </si>
  <si>
    <t>나이론(유무광)100</t>
  </si>
  <si>
    <t>250mm*380mm=삼방-지퍼(하단오픈)</t>
  </si>
  <si>
    <t>삼방-지퍼-나이론(유무광)100-250</t>
  </si>
  <si>
    <t>20241205-1000139129</t>
  </si>
  <si>
    <t>삼방꼬리-HD씨링-나이론60-400</t>
  </si>
  <si>
    <t>20241205-1000141781</t>
  </si>
  <si>
    <t>20241205-1000146641</t>
  </si>
  <si>
    <t>360mm*430mm=삼방-지퍼</t>
  </si>
  <si>
    <t>삼방-지퍼-패트(유무광)90-360</t>
  </si>
  <si>
    <t>20241205-1000152197</t>
  </si>
  <si>
    <t>200mm*200mm=삼방-2폭</t>
  </si>
  <si>
    <t>삼방-2폭-나이론(유무광)100-200</t>
  </si>
  <si>
    <t>20241205-1000153537</t>
  </si>
  <si>
    <t>패트(유무광)120</t>
  </si>
  <si>
    <t>220mm*300mm=삼방-지퍼-바람구멍1개(2mm)</t>
  </si>
  <si>
    <t>삼방-지퍼-패트(유무광)120-220</t>
  </si>
  <si>
    <t>20241205-1000159007</t>
  </si>
  <si>
    <t>20241205-1000162659</t>
  </si>
  <si>
    <t>400mm*320mm=삼방</t>
  </si>
  <si>
    <t>20241205-1000165517</t>
  </si>
  <si>
    <t>400mm*300mm=삼방-가분수</t>
  </si>
  <si>
    <t>20241205-1000169370</t>
  </si>
  <si>
    <t>20241205-1000169931</t>
  </si>
  <si>
    <t>200mm*250mm=삼방</t>
  </si>
  <si>
    <t>삼방-패트90-200</t>
  </si>
  <si>
    <t>20241205-903002</t>
  </si>
  <si>
    <t>20241225</t>
  </si>
  <si>
    <t>20241206-1000154035</t>
  </si>
  <si>
    <t>나이론(자동포장용)110</t>
  </si>
  <si>
    <t>210x300=삼방-지퍼</t>
  </si>
  <si>
    <t>삼방-지퍼-나이론(자동포장용)110-210</t>
  </si>
  <si>
    <t>20241206-1000155583</t>
  </si>
  <si>
    <t>20241223</t>
  </si>
  <si>
    <t>20241206-1000159156</t>
  </si>
  <si>
    <t>220mm*330mm=삼방-지퍼</t>
  </si>
  <si>
    <t>삼방-지퍼-나이론(자동포장용)110-220</t>
  </si>
  <si>
    <t>20241206-1000163732</t>
  </si>
  <si>
    <t>350mm*600mm=삼방</t>
  </si>
  <si>
    <t>20241206-1000167559</t>
  </si>
  <si>
    <t>220x250=삼방</t>
  </si>
  <si>
    <t>삼방-패트(유무광)80-220</t>
  </si>
  <si>
    <t>20241206-1000168436</t>
  </si>
  <si>
    <t>은박(무광)130</t>
  </si>
  <si>
    <t>120mm*185mm+35mm=삼방스탠드-지퍼</t>
  </si>
  <si>
    <t>삼방스탠드-지퍼-은박(무광)130-120</t>
  </si>
  <si>
    <t>20241206-1000168443</t>
  </si>
  <si>
    <t>20241206-1000169941</t>
  </si>
  <si>
    <t>20241206-1000169949</t>
  </si>
  <si>
    <t>PET175</t>
  </si>
  <si>
    <t>70mm*440mm=띠지</t>
  </si>
  <si>
    <t>20241206-1000169956</t>
  </si>
  <si>
    <t>전투후은120</t>
  </si>
  <si>
    <t>180mm*260mm+50mm=2단삼방스탠드-지퍼</t>
  </si>
  <si>
    <t>2단삼방스탠드-지퍼</t>
  </si>
  <si>
    <t>038</t>
  </si>
  <si>
    <t>2단삼방스탠드-지퍼-전투후은120-180</t>
  </si>
  <si>
    <t>20241206-1119P0054</t>
  </si>
  <si>
    <t>20241206-1219P0390</t>
  </si>
  <si>
    <t>20241209-1000156494</t>
  </si>
  <si>
    <t>20241220</t>
  </si>
  <si>
    <t>삼방-지퍼-오씨피피(투명)80-230</t>
  </si>
  <si>
    <t>20241209-1000165055</t>
  </si>
  <si>
    <t>나이론(유무광)105</t>
  </si>
  <si>
    <t>170mm*580mm=삼방</t>
  </si>
  <si>
    <t>삼방-나이론(유무광)105-170</t>
  </si>
  <si>
    <t>20241209-1000169997</t>
  </si>
  <si>
    <t>260mm*360mm=삼방-지퍼-바람구멍1개(1mm)</t>
  </si>
  <si>
    <t>삼방-지퍼-패트100-260</t>
  </si>
  <si>
    <t>20241209-1116P0191</t>
  </si>
  <si>
    <t>20241209-140358</t>
  </si>
  <si>
    <t>은박100</t>
  </si>
  <si>
    <t>170x250=삼방(사각라운드O)</t>
  </si>
  <si>
    <t>삼방-은박100-170</t>
  </si>
  <si>
    <t>20241209-141216</t>
  </si>
  <si>
    <t>200x300=삼방-지퍼-바람구멍1개*1mm</t>
  </si>
  <si>
    <t>삼방-지퍼-패트100-200</t>
  </si>
  <si>
    <t>20241209-1420P0042</t>
  </si>
  <si>
    <t>260x360=삼방-지퍼(하단오픈)</t>
  </si>
  <si>
    <t>삼방-지퍼-오씨피피(유무광)70-260</t>
  </si>
  <si>
    <t>20241210-1000145489</t>
  </si>
  <si>
    <t>370x280=삼방-가분수</t>
  </si>
  <si>
    <t>삼방-나이론80-370</t>
  </si>
  <si>
    <t>20241210-1000151254</t>
  </si>
  <si>
    <t>20241210-1000157897</t>
  </si>
  <si>
    <t>오씨피피(무광)80</t>
  </si>
  <si>
    <t>250mm*335mm=삼방-지퍼</t>
  </si>
  <si>
    <t>삼방-지퍼-오씨피피(무광)80-250</t>
  </si>
  <si>
    <t>20241210-1000160893</t>
  </si>
  <si>
    <t>315mm*430mm=삼방</t>
  </si>
  <si>
    <t>삼방-나이론110-315</t>
  </si>
  <si>
    <t>20241210-1000162115</t>
  </si>
  <si>
    <t>200x300=삼방-지퍼</t>
  </si>
  <si>
    <t>20241210-1000163340</t>
  </si>
  <si>
    <t>정전기75</t>
  </si>
  <si>
    <t>100x150=삼방-지퍼</t>
  </si>
  <si>
    <t>삼방-지퍼-정전기75-100</t>
  </si>
  <si>
    <t>20241210-1000164958</t>
  </si>
  <si>
    <t>20241210-1000165165</t>
  </si>
  <si>
    <t>20241210-1000165959</t>
  </si>
  <si>
    <t>나이론(유무광)110</t>
  </si>
  <si>
    <t>230mm*510mm=삼방</t>
  </si>
  <si>
    <t>삼방-나이론(유무광)110-230</t>
  </si>
  <si>
    <t>20241210-1000169983</t>
  </si>
  <si>
    <t>20241210-1000169985</t>
  </si>
  <si>
    <t>20241210-1000169987</t>
  </si>
  <si>
    <t>20241210-1000170004</t>
  </si>
  <si>
    <t>170mm*310mm=삼방-지퍼-타공4개(8mm)</t>
  </si>
  <si>
    <t>20241210-11150297</t>
  </si>
  <si>
    <t>20241210-1219P0336</t>
  </si>
  <si>
    <t>200x280=삼방</t>
  </si>
  <si>
    <t>삼방-나이론80-200</t>
  </si>
  <si>
    <t>20241210-1219P0337</t>
  </si>
  <si>
    <t>20241210-1619P0061</t>
  </si>
  <si>
    <t>20241211-1000157743</t>
  </si>
  <si>
    <t>20241224</t>
  </si>
  <si>
    <t>20241211-1117N0055</t>
  </si>
  <si>
    <t>20241211-1419P0236</t>
  </si>
  <si>
    <t>210x525=삼방꼬리</t>
  </si>
  <si>
    <t>삼방꼬리-오씨피피(투명)80-210</t>
  </si>
  <si>
    <t>삼방꼬리-오씨피피(투명)80-525</t>
  </si>
  <si>
    <t>20241212-1000144905</t>
  </si>
  <si>
    <t>170mm*270mm=삼방</t>
  </si>
  <si>
    <t>삼방-나이론100-170</t>
  </si>
  <si>
    <t>20241212-1000150745</t>
  </si>
  <si>
    <t>삼방-HD씨링-나이론60-350</t>
  </si>
  <si>
    <t>20241212-1000159704</t>
  </si>
  <si>
    <t>190mm*270mm=삼방</t>
  </si>
  <si>
    <t>삼방-나이론100-190</t>
  </si>
  <si>
    <t>20241212-1000164143</t>
  </si>
  <si>
    <t>200mm*255mm=삼방</t>
  </si>
  <si>
    <t>삼방-나이론95-200</t>
  </si>
  <si>
    <t>20241212-1000165249</t>
  </si>
  <si>
    <t>270x380=삼방-지퍼(하단오픈)</t>
  </si>
  <si>
    <t>삼방-지퍼-나이론(유백/유무광)105-270</t>
  </si>
  <si>
    <t>20241212-1000168755</t>
  </si>
  <si>
    <t>280mm*800mm=삼방꼬리(v칼-중앙)</t>
  </si>
  <si>
    <t>삼방꼬리-나이론60-280</t>
  </si>
  <si>
    <t>삼방꼬리-나이론60-800</t>
  </si>
  <si>
    <t>20241212-1000168759</t>
  </si>
  <si>
    <t>280mm*700mm=삼방꼬리(v칼-2개)</t>
  </si>
  <si>
    <t>삼방꼬리-나이론60-700</t>
  </si>
  <si>
    <t>20241212-1000168763</t>
  </si>
  <si>
    <t>250mm*700mm=삼방꼬리(v칼-2개)</t>
  </si>
  <si>
    <t>삼방꼬리-나이론60-250</t>
  </si>
  <si>
    <t>20241212-1000168767</t>
  </si>
  <si>
    <t>250mm*580mm=삼방꼬리(v칼-2개)</t>
  </si>
  <si>
    <t>삼방꼬리-나이론60-580</t>
  </si>
  <si>
    <t>20241212-1420P0232</t>
  </si>
  <si>
    <t>오씨피피(유무광)70=6도-장수 건해산물 1kg(300x420)</t>
  </si>
  <si>
    <t>300x420=삼방-지퍼(하단오픈)</t>
  </si>
  <si>
    <t>삼방-지퍼-오씨피피(유무광)70=6도-장수 건해산물 1kg(300x420)-300</t>
  </si>
  <si>
    <t>20241213-1000170018</t>
  </si>
  <si>
    <t>증착70</t>
  </si>
  <si>
    <t>200mm*350mm=삼방</t>
  </si>
  <si>
    <t>삼방-증착70-200</t>
  </si>
  <si>
    <t>20241213-1000170019</t>
  </si>
  <si>
    <t>160mm*350mm=삼방</t>
  </si>
  <si>
    <t>삼방-증착70-160</t>
  </si>
  <si>
    <t>20241213-130441</t>
  </si>
  <si>
    <t>간지</t>
  </si>
  <si>
    <t>간지-PET100-100</t>
  </si>
  <si>
    <t>간지-PET175-70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</si>
</sst>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매출: &quot;#,##0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12">
    <xf numFmtId="0" fontId="0" fillId="0" borderId="0" xfId="0">
      <alignment vertical="center"/>
    </xf>
    <xf numFmtId="0" fontId="0" fillId="0" borderId="5" xfId="0" pivotButton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176" fontId="5" fillId="0" borderId="5" xfId="0" applyNumberFormat="1" applyFont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2">
    <cellStyle name="표준" xfId="0" builtinId="0"/>
    <cellStyle name="표준 2" xfId="1" xr:uid="{00000000-0005-0000-0000-000001000000}"/>
  </cellStyles>
  <dxfs count="39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[협력사(제대)매출추정_대시보드_류홍규_작업본_v1.01_20241125_외부발행.xlsm]쿼리_피벗!12월피벗1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12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월 </a:t>
            </a:r>
            <a:r>
              <a:rPr lang="ko-KR" altLang="en-US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협력사</a:t>
            </a: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(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제대</a:t>
            </a: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) </a:t>
            </a:r>
            <a:r>
              <a:rPr lang="ko-KR" altLang="en-US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예상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매출액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D700"/>
          </a:solidFill>
          <a:ln>
            <a:noFill/>
          </a:ln>
          <a:effectLst/>
        </c:spPr>
      </c:pivotFmt>
      <c:pivotFmt>
        <c:idx val="14"/>
        <c:spPr>
          <a:solidFill>
            <a:srgbClr val="00B050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D700"/>
          </a:solidFill>
          <a:ln>
            <a:noFill/>
          </a:ln>
          <a:effectLst/>
        </c:spPr>
      </c:pivotFmt>
      <c:pivotFmt>
        <c:idx val="17"/>
        <c:spPr>
          <a:solidFill>
            <a:srgbClr val="00B050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FFD700"/>
          </a:solidFill>
          <a:ln>
            <a:noFill/>
          </a:ln>
          <a:effectLst/>
        </c:spPr>
      </c:pivotFmt>
      <c:pivotFmt>
        <c:idx val="20"/>
        <c:spPr>
          <a:solidFill>
            <a:srgbClr val="00B050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B050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D700"/>
          </a:solidFill>
          <a:ln>
            <a:noFill/>
          </a:ln>
          <a:effectLst/>
        </c:spPr>
      </c:pivotFmt>
      <c:pivotFmt>
        <c:idx val="25"/>
        <c:spPr>
          <a:solidFill>
            <a:srgbClr val="00B050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D700"/>
          </a:solidFill>
          <a:ln>
            <a:noFill/>
          </a:ln>
          <a:effectLst/>
        </c:spPr>
      </c:pivotFmt>
      <c:pivotFmt>
        <c:idx val="28"/>
        <c:spPr>
          <a:solidFill>
            <a:srgbClr val="00B050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D700"/>
          </a:solidFill>
          <a:ln>
            <a:noFill/>
          </a:ln>
          <a:effectLst/>
        </c:spPr>
      </c:pivotFmt>
      <c:pivotFmt>
        <c:idx val="31"/>
        <c:spPr>
          <a:solidFill>
            <a:srgbClr val="00B050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FFD700"/>
          </a:solidFill>
          <a:ln>
            <a:noFill/>
          </a:ln>
          <a:effectLst/>
        </c:spPr>
      </c:pivotFmt>
      <c:pivotFmt>
        <c:idx val="34"/>
        <c:spPr>
          <a:solidFill>
            <a:srgbClr val="00B050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D700"/>
          </a:solidFill>
          <a:ln>
            <a:noFill/>
          </a:ln>
          <a:effectLst/>
        </c:spPr>
      </c:pivotFmt>
      <c:pivotFmt>
        <c:idx val="37"/>
        <c:spPr>
          <a:solidFill>
            <a:srgbClr val="00B050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FFD700"/>
          </a:solidFill>
          <a:ln>
            <a:noFill/>
          </a:ln>
          <a:effectLst/>
        </c:spPr>
      </c:pivotFmt>
      <c:pivotFmt>
        <c:idx val="40"/>
        <c:spPr>
          <a:solidFill>
            <a:srgbClr val="00B050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D700"/>
          </a:solidFill>
          <a:ln>
            <a:noFill/>
          </a:ln>
          <a:effectLst/>
        </c:spPr>
      </c:pivotFmt>
      <c:pivotFmt>
        <c:idx val="43"/>
        <c:spPr>
          <a:solidFill>
            <a:srgbClr val="00B050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D700"/>
          </a:solidFill>
          <a:ln>
            <a:noFill/>
          </a:ln>
          <a:effectLst/>
        </c:spPr>
      </c:pivotFmt>
      <c:pivotFmt>
        <c:idx val="46"/>
        <c:spPr>
          <a:solidFill>
            <a:srgbClr val="00B050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D700"/>
          </a:solidFill>
          <a:ln>
            <a:noFill/>
          </a:ln>
          <a:effectLst/>
        </c:spPr>
      </c:pivotFmt>
      <c:pivotFmt>
        <c:idx val="49"/>
        <c:spPr>
          <a:solidFill>
            <a:srgbClr val="00B050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FD700"/>
          </a:solidFill>
          <a:ln>
            <a:noFill/>
          </a:ln>
          <a:effectLst/>
        </c:spPr>
      </c:pivotFmt>
      <c:pivotFmt>
        <c:idx val="52"/>
        <c:spPr>
          <a:solidFill>
            <a:srgbClr val="00B050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FFD700"/>
          </a:solidFill>
          <a:ln>
            <a:noFill/>
          </a:ln>
          <a:effectLst/>
        </c:spPr>
      </c:pivotFmt>
      <c:pivotFmt>
        <c:idx val="55"/>
        <c:spPr>
          <a:solidFill>
            <a:srgbClr val="00B050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D700"/>
          </a:solidFill>
          <a:ln>
            <a:noFill/>
          </a:ln>
          <a:effectLst/>
        </c:spPr>
      </c:pivotFmt>
      <c:pivotFmt>
        <c:idx val="58"/>
        <c:spPr>
          <a:solidFill>
            <a:srgbClr val="00B050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FFD700"/>
          </a:solidFill>
          <a:ln>
            <a:noFill/>
          </a:ln>
          <a:effectLst/>
        </c:spPr>
      </c:pivotFmt>
      <c:pivotFmt>
        <c:idx val="61"/>
        <c:spPr>
          <a:solidFill>
            <a:srgbClr val="00B050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FFD700"/>
          </a:solidFill>
          <a:ln>
            <a:noFill/>
          </a:ln>
          <a:effectLst/>
        </c:spPr>
      </c:pivotFmt>
      <c:pivotFmt>
        <c:idx val="64"/>
        <c:spPr>
          <a:solidFill>
            <a:srgbClr val="00B050"/>
          </a:solidFill>
          <a:ln>
            <a:noFill/>
          </a:ln>
          <a:effectLst/>
        </c:spP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FD700"/>
          </a:solidFill>
          <a:ln>
            <a:noFill/>
          </a:ln>
          <a:effectLst/>
        </c:spPr>
      </c:pivotFmt>
      <c:pivotFmt>
        <c:idx val="67"/>
        <c:spPr>
          <a:solidFill>
            <a:srgbClr val="00B050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FFD700"/>
          </a:solidFill>
          <a:ln>
            <a:noFill/>
          </a:ln>
          <a:effectLst/>
        </c:spPr>
      </c:pivotFmt>
      <c:pivotFmt>
        <c:idx val="70"/>
        <c:spPr>
          <a:solidFill>
            <a:srgbClr val="00B050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FFD700"/>
          </a:solidFill>
          <a:ln>
            <a:noFill/>
          </a:ln>
          <a:effectLst/>
        </c:spPr>
      </c:pivotFmt>
      <c:pivotFmt>
        <c:idx val="73"/>
        <c:spPr>
          <a:solidFill>
            <a:srgbClr val="00B050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rgbClr val="FFD700"/>
          </a:solidFill>
          <a:ln>
            <a:noFill/>
          </a:ln>
          <a:effectLst/>
        </c:spPr>
      </c:pivotFmt>
      <c:pivotFmt>
        <c:idx val="76"/>
        <c:spPr>
          <a:solidFill>
            <a:srgbClr val="00B050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rgbClr val="FFD700"/>
          </a:solidFill>
          <a:ln>
            <a:noFill/>
          </a:ln>
          <a:effectLst/>
        </c:spPr>
      </c:pivotFmt>
      <c:pivotFmt>
        <c:idx val="79"/>
        <c:spPr>
          <a:solidFill>
            <a:srgbClr val="00B050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rgbClr val="FFD700"/>
          </a:solidFill>
          <a:ln>
            <a:noFill/>
          </a:ln>
          <a:effectLst/>
        </c:spPr>
      </c:pivotFmt>
      <c:pivotFmt>
        <c:idx val="82"/>
        <c:spPr>
          <a:solidFill>
            <a:srgbClr val="00B050"/>
          </a:solidFill>
          <a:ln>
            <a:noFill/>
          </a:ln>
          <a:effectLst/>
        </c:spP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FFD700"/>
          </a:solidFill>
          <a:ln>
            <a:noFill/>
          </a:ln>
          <a:effectLst/>
        </c:spPr>
      </c:pivotFmt>
      <c:pivotFmt>
        <c:idx val="85"/>
        <c:spPr>
          <a:solidFill>
            <a:srgbClr val="00B050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FD700"/>
          </a:solidFill>
          <a:ln>
            <a:noFill/>
          </a:ln>
          <a:effectLst/>
        </c:spPr>
      </c:pivotFmt>
      <c:pivotFmt>
        <c:idx val="88"/>
        <c:spPr>
          <a:solidFill>
            <a:srgbClr val="00B050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FFD700"/>
          </a:solidFill>
          <a:ln>
            <a:noFill/>
          </a:ln>
          <a:effectLst/>
        </c:spPr>
      </c:pivotFmt>
      <c:pivotFmt>
        <c:idx val="91"/>
        <c:spPr>
          <a:solidFill>
            <a:srgbClr val="00B050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FFD700"/>
          </a:solidFill>
          <a:ln>
            <a:noFill/>
          </a:ln>
          <a:effectLst/>
        </c:spPr>
      </c:pivotFmt>
      <c:pivotFmt>
        <c:idx val="94"/>
        <c:spPr>
          <a:solidFill>
            <a:srgbClr val="00B050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FFD700"/>
          </a:solidFill>
          <a:ln>
            <a:noFill/>
          </a:ln>
          <a:effectLst/>
        </c:spPr>
      </c:pivotFmt>
      <c:pivotFmt>
        <c:idx val="97"/>
        <c:spPr>
          <a:solidFill>
            <a:srgbClr val="00B050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FD700"/>
          </a:solidFill>
          <a:ln>
            <a:noFill/>
          </a:ln>
          <a:effectLst/>
        </c:spPr>
      </c:pivotFmt>
      <c:pivotFmt>
        <c:idx val="100"/>
        <c:spPr>
          <a:solidFill>
            <a:srgbClr val="00B050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FFD700"/>
          </a:solidFill>
          <a:ln>
            <a:noFill/>
          </a:ln>
          <a:effectLst/>
        </c:spPr>
      </c:pivotFmt>
      <c:pivotFmt>
        <c:idx val="103"/>
        <c:spPr>
          <a:solidFill>
            <a:srgbClr val="00B050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FFD700"/>
          </a:solidFill>
          <a:ln>
            <a:noFill/>
          </a:ln>
          <a:effectLst/>
        </c:spPr>
      </c:pivotFmt>
      <c:pivotFmt>
        <c:idx val="106"/>
        <c:spPr>
          <a:solidFill>
            <a:srgbClr val="00B050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D700"/>
          </a:solidFill>
          <a:ln>
            <a:noFill/>
          </a:ln>
          <a:effectLst/>
        </c:spPr>
      </c:pivotFmt>
      <c:pivotFmt>
        <c:idx val="109"/>
        <c:spPr>
          <a:solidFill>
            <a:srgbClr val="00B050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FFD700"/>
          </a:solidFill>
          <a:ln>
            <a:noFill/>
          </a:ln>
          <a:effectLst/>
        </c:spPr>
      </c:pivotFmt>
      <c:pivotFmt>
        <c:idx val="112"/>
        <c:spPr>
          <a:solidFill>
            <a:srgbClr val="00B050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FFD700"/>
          </a:solidFill>
          <a:ln>
            <a:noFill/>
          </a:ln>
          <a:effectLst/>
        </c:spPr>
      </c:pivotFmt>
      <c:pivotFmt>
        <c:idx val="115"/>
        <c:spPr>
          <a:solidFill>
            <a:srgbClr val="00B050"/>
          </a:solidFill>
          <a:ln>
            <a:noFill/>
          </a:ln>
          <a:effectLst/>
        </c:spP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FFD700"/>
          </a:solidFill>
          <a:ln>
            <a:noFill/>
          </a:ln>
          <a:effectLst/>
        </c:spPr>
      </c:pivotFmt>
      <c:pivotFmt>
        <c:idx val="118"/>
        <c:spPr>
          <a:solidFill>
            <a:srgbClr val="00B050"/>
          </a:solidFill>
          <a:ln>
            <a:noFill/>
          </a:ln>
          <a:effectLst/>
        </c:spP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FFD700"/>
          </a:solidFill>
          <a:ln>
            <a:noFill/>
          </a:ln>
          <a:effectLst/>
        </c:spPr>
      </c:pivotFmt>
      <c:pivotFmt>
        <c:idx val="121"/>
        <c:spPr>
          <a:solidFill>
            <a:srgbClr val="00B050"/>
          </a:solidFill>
          <a:ln>
            <a:noFill/>
          </a:ln>
          <a:effectLst/>
        </c:spP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rgbClr val="FFD700"/>
          </a:solidFill>
          <a:ln>
            <a:noFill/>
          </a:ln>
          <a:effectLst/>
        </c:spPr>
      </c:pivotFmt>
      <c:pivotFmt>
        <c:idx val="124"/>
        <c:spPr>
          <a:solidFill>
            <a:srgbClr val="00B050"/>
          </a:solidFill>
          <a:ln>
            <a:noFill/>
          </a:ln>
          <a:effectLst/>
        </c:spP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rgbClr val="FFD700"/>
          </a:solidFill>
          <a:ln>
            <a:noFill/>
          </a:ln>
          <a:effectLst/>
        </c:spPr>
      </c:pivotFmt>
      <c:pivotFmt>
        <c:idx val="127"/>
        <c:spPr>
          <a:solidFill>
            <a:srgbClr val="00B050"/>
          </a:solidFill>
          <a:ln>
            <a:noFill/>
          </a:ln>
          <a:effectLst/>
        </c:spP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rgbClr val="FFD700"/>
          </a:solidFill>
          <a:ln>
            <a:noFill/>
          </a:ln>
          <a:effectLst/>
        </c:spPr>
      </c:pivotFmt>
      <c:pivotFmt>
        <c:idx val="130"/>
        <c:spPr>
          <a:solidFill>
            <a:srgbClr val="00B050"/>
          </a:solidFill>
          <a:ln>
            <a:noFill/>
          </a:ln>
          <a:effectLst/>
        </c:spP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rgbClr val="FFD700"/>
          </a:solidFill>
          <a:ln>
            <a:noFill/>
          </a:ln>
          <a:effectLst/>
        </c:spPr>
      </c:pivotFmt>
      <c:pivotFmt>
        <c:idx val="133"/>
        <c:spPr>
          <a:solidFill>
            <a:srgbClr val="00B050"/>
          </a:solidFill>
          <a:ln>
            <a:noFill/>
          </a:ln>
          <a:effectLst/>
        </c:spP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rgbClr val="FFD700"/>
          </a:solidFill>
          <a:ln>
            <a:noFill/>
          </a:ln>
          <a:effectLst/>
        </c:spPr>
      </c:pivotFmt>
      <c:pivotFmt>
        <c:idx val="136"/>
        <c:spPr>
          <a:solidFill>
            <a:srgbClr val="00B050"/>
          </a:solidFill>
          <a:ln>
            <a:noFill/>
          </a:ln>
          <a:effectLst/>
        </c:spP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rgbClr val="FFD700"/>
          </a:solidFill>
          <a:ln>
            <a:noFill/>
          </a:ln>
          <a:effectLst/>
        </c:spPr>
      </c:pivotFmt>
      <c:pivotFmt>
        <c:idx val="139"/>
        <c:spPr>
          <a:solidFill>
            <a:srgbClr val="00B050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rgbClr val="FFD700"/>
          </a:solidFill>
          <a:ln>
            <a:noFill/>
          </a:ln>
          <a:effectLst/>
        </c:spPr>
      </c:pivotFmt>
      <c:pivotFmt>
        <c:idx val="142"/>
        <c:spPr>
          <a:solidFill>
            <a:srgbClr val="00B050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rgbClr val="FFD700"/>
          </a:solidFill>
          <a:ln>
            <a:noFill/>
          </a:ln>
          <a:effectLst/>
        </c:spPr>
      </c:pivotFmt>
      <c:pivotFmt>
        <c:idx val="145"/>
        <c:spPr>
          <a:solidFill>
            <a:srgbClr val="00B050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rgbClr val="FFD700"/>
          </a:solidFill>
          <a:ln>
            <a:noFill/>
          </a:ln>
          <a:effectLst/>
        </c:spPr>
      </c:pivotFmt>
      <c:pivotFmt>
        <c:idx val="148"/>
        <c:spPr>
          <a:solidFill>
            <a:srgbClr val="00B050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rgbClr val="FFD700"/>
          </a:solidFill>
          <a:ln>
            <a:noFill/>
          </a:ln>
          <a:effectLst/>
        </c:spPr>
      </c:pivotFmt>
      <c:pivotFmt>
        <c:idx val="151"/>
        <c:spPr>
          <a:solidFill>
            <a:srgbClr val="00B050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rgbClr val="FFD700"/>
          </a:solidFill>
          <a:ln>
            <a:noFill/>
          </a:ln>
          <a:effectLst/>
        </c:spPr>
      </c:pivotFmt>
      <c:pivotFmt>
        <c:idx val="154"/>
        <c:spPr>
          <a:solidFill>
            <a:srgbClr val="00B050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rgbClr val="FFD700"/>
          </a:solidFill>
          <a:ln>
            <a:noFill/>
          </a:ln>
          <a:effectLst/>
        </c:spPr>
      </c:pivotFmt>
      <c:pivotFmt>
        <c:idx val="157"/>
        <c:spPr>
          <a:solidFill>
            <a:srgbClr val="00B050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rgbClr val="FFD700"/>
          </a:solidFill>
          <a:ln>
            <a:noFill/>
          </a:ln>
          <a:effectLst/>
        </c:spPr>
      </c:pivotFmt>
      <c:pivotFmt>
        <c:idx val="160"/>
        <c:spPr>
          <a:solidFill>
            <a:srgbClr val="00B050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rgbClr val="FFD700"/>
          </a:solidFill>
          <a:ln>
            <a:noFill/>
          </a:ln>
          <a:effectLst/>
        </c:spPr>
      </c:pivotFmt>
      <c:pivotFmt>
        <c:idx val="163"/>
        <c:spPr>
          <a:solidFill>
            <a:srgbClr val="00B050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rgbClr val="FFD700"/>
          </a:solidFill>
          <a:ln>
            <a:noFill/>
          </a:ln>
          <a:effectLst/>
        </c:spPr>
      </c:pivotFmt>
      <c:pivotFmt>
        <c:idx val="166"/>
        <c:spPr>
          <a:solidFill>
            <a:srgbClr val="00B050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rgbClr val="FFD700"/>
          </a:solidFill>
          <a:ln>
            <a:noFill/>
          </a:ln>
          <a:effectLst/>
        </c:spPr>
      </c:pivotFmt>
      <c:pivotFmt>
        <c:idx val="169"/>
        <c:spPr>
          <a:solidFill>
            <a:srgbClr val="00B050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rgbClr val="FFD700"/>
          </a:solidFill>
          <a:ln>
            <a:noFill/>
          </a:ln>
          <a:effectLst/>
        </c:spPr>
      </c:pivotFmt>
      <c:pivotFmt>
        <c:idx val="172"/>
        <c:spPr>
          <a:solidFill>
            <a:srgbClr val="00B050"/>
          </a:solidFill>
          <a:ln>
            <a:noFill/>
          </a:ln>
          <a:effectLst/>
        </c:spP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FFD700"/>
          </a:solidFill>
          <a:ln>
            <a:noFill/>
          </a:ln>
          <a:effectLst/>
        </c:spPr>
      </c:pivotFmt>
      <c:pivotFmt>
        <c:idx val="175"/>
        <c:spPr>
          <a:solidFill>
            <a:srgbClr val="00B050"/>
          </a:solidFill>
          <a:ln>
            <a:noFill/>
          </a:ln>
          <a:effectLst/>
        </c:spP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rgbClr val="FFD700"/>
          </a:solidFill>
          <a:ln>
            <a:noFill/>
          </a:ln>
          <a:effectLst/>
        </c:spPr>
      </c:pivotFmt>
      <c:pivotFmt>
        <c:idx val="178"/>
        <c:spPr>
          <a:solidFill>
            <a:srgbClr val="00B050"/>
          </a:solidFill>
          <a:ln>
            <a:noFill/>
          </a:ln>
          <a:effectLst/>
        </c:spPr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rgbClr val="FFD700"/>
          </a:solidFill>
          <a:ln>
            <a:noFill/>
          </a:ln>
          <a:effectLst/>
        </c:spPr>
      </c:pivotFmt>
      <c:pivotFmt>
        <c:idx val="181"/>
        <c:spPr>
          <a:solidFill>
            <a:srgbClr val="00B050"/>
          </a:solidFill>
          <a:ln>
            <a:noFill/>
          </a:ln>
          <a:effectLst/>
        </c:spP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rgbClr val="FFD700"/>
          </a:solidFill>
          <a:ln>
            <a:noFill/>
          </a:ln>
          <a:effectLst/>
        </c:spPr>
      </c:pivotFmt>
      <c:pivotFmt>
        <c:idx val="184"/>
        <c:spPr>
          <a:solidFill>
            <a:srgbClr val="00B050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rgbClr val="FFD700"/>
          </a:solidFill>
          <a:ln>
            <a:noFill/>
          </a:ln>
          <a:effectLst/>
        </c:spPr>
      </c:pivotFmt>
      <c:pivotFmt>
        <c:idx val="187"/>
        <c:spPr>
          <a:solidFill>
            <a:srgbClr val="00B050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FFD700"/>
          </a:solidFill>
          <a:ln>
            <a:noFill/>
          </a:ln>
          <a:effectLst/>
        </c:spPr>
      </c:pivotFmt>
      <c:pivotFmt>
        <c:idx val="190"/>
        <c:spPr>
          <a:solidFill>
            <a:srgbClr val="00B050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FFD700"/>
          </a:solidFill>
          <a:ln>
            <a:noFill/>
          </a:ln>
          <a:effectLst/>
        </c:spPr>
      </c:pivotFmt>
      <c:pivotFmt>
        <c:idx val="193"/>
        <c:spPr>
          <a:solidFill>
            <a:srgbClr val="00B050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FFD700"/>
          </a:solidFill>
          <a:ln>
            <a:noFill/>
          </a:ln>
          <a:effectLst/>
        </c:spPr>
      </c:pivotFmt>
      <c:pivotFmt>
        <c:idx val="196"/>
        <c:spPr>
          <a:solidFill>
            <a:srgbClr val="00B050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rgbClr val="FFD700"/>
          </a:solidFill>
          <a:ln>
            <a:noFill/>
          </a:ln>
          <a:effectLst/>
        </c:spPr>
      </c:pivotFmt>
      <c:pivotFmt>
        <c:idx val="199"/>
        <c:spPr>
          <a:solidFill>
            <a:srgbClr val="00B050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rgbClr val="FFD700"/>
          </a:solidFill>
          <a:ln>
            <a:noFill/>
          </a:ln>
          <a:effectLst/>
        </c:spPr>
      </c:pivotFmt>
      <c:pivotFmt>
        <c:idx val="202"/>
        <c:spPr>
          <a:solidFill>
            <a:srgbClr val="00B050"/>
          </a:solidFill>
          <a:ln>
            <a:noFill/>
          </a:ln>
          <a:effectLst/>
        </c:spPr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rgbClr val="FFD700"/>
          </a:solidFill>
          <a:ln>
            <a:noFill/>
          </a:ln>
          <a:effectLst/>
        </c:spPr>
      </c:pivotFmt>
      <c:pivotFmt>
        <c:idx val="206"/>
        <c:spPr>
          <a:solidFill>
            <a:srgbClr val="00B050"/>
          </a:solidFill>
          <a:ln>
            <a:noFill/>
          </a:ln>
          <a:effectLst/>
        </c:spPr>
      </c:pivotFmt>
      <c:pivotFmt>
        <c:idx val="207"/>
        <c:spPr>
          <a:solidFill>
            <a:srgbClr val="FFD700"/>
          </a:solidFill>
          <a:ln>
            <a:noFill/>
          </a:ln>
          <a:effectLst/>
        </c:spPr>
      </c:pivotFmt>
      <c:pivotFmt>
        <c:idx val="208"/>
        <c:spPr>
          <a:solidFill>
            <a:srgbClr val="00B050"/>
          </a:solidFill>
          <a:ln>
            <a:noFill/>
          </a:ln>
          <a:effectLst/>
        </c:spPr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rgbClr val="FFD700"/>
          </a:solidFill>
          <a:ln>
            <a:noFill/>
          </a:ln>
          <a:effectLst/>
        </c:spPr>
      </c:pivotFmt>
      <c:pivotFmt>
        <c:idx val="211"/>
        <c:spPr>
          <a:solidFill>
            <a:srgbClr val="00B050"/>
          </a:solidFill>
          <a:ln>
            <a:noFill/>
          </a:ln>
          <a:effectLst/>
        </c:spPr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rgbClr val="FFD700"/>
          </a:solidFill>
          <a:ln>
            <a:noFill/>
          </a:ln>
          <a:effectLst/>
        </c:spPr>
      </c:pivotFmt>
      <c:pivotFmt>
        <c:idx val="214"/>
        <c:spPr>
          <a:solidFill>
            <a:srgbClr val="00B050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00B050"/>
          </a:solidFill>
          <a:ln>
            <a:noFill/>
          </a:ln>
          <a:effectLst/>
        </c:spPr>
      </c:pivotFmt>
      <c:pivotFmt>
        <c:idx val="217"/>
        <c:spPr>
          <a:solidFill>
            <a:srgbClr val="FFD700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00B050"/>
          </a:solidFill>
          <a:ln>
            <a:noFill/>
          </a:ln>
          <a:effectLst/>
        </c:spPr>
      </c:pivotFmt>
      <c:pivotFmt>
        <c:idx val="220"/>
        <c:spPr>
          <a:solidFill>
            <a:srgbClr val="FFD700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00B050"/>
          </a:solidFill>
          <a:ln>
            <a:noFill/>
          </a:ln>
          <a:effectLst/>
        </c:spPr>
      </c:pivotFmt>
      <c:pivotFmt>
        <c:idx val="223"/>
        <c:spPr>
          <a:solidFill>
            <a:srgbClr val="FFD700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00B050"/>
          </a:solidFill>
          <a:ln>
            <a:noFill/>
          </a:ln>
          <a:effectLst/>
        </c:spPr>
      </c:pivotFmt>
      <c:pivotFmt>
        <c:idx val="226"/>
        <c:spPr>
          <a:solidFill>
            <a:srgbClr val="FFD700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00B050"/>
          </a:solidFill>
          <a:ln>
            <a:noFill/>
          </a:ln>
          <a:effectLst/>
        </c:spPr>
      </c:pivotFmt>
      <c:pivotFmt>
        <c:idx val="229"/>
        <c:spPr>
          <a:solidFill>
            <a:srgbClr val="FFD700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00B050"/>
          </a:solidFill>
          <a:ln>
            <a:noFill/>
          </a:ln>
          <a:effectLst/>
        </c:spPr>
      </c:pivotFmt>
      <c:pivotFmt>
        <c:idx val="232"/>
        <c:spPr>
          <a:solidFill>
            <a:srgbClr val="FFD700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B050"/>
          </a:solidFill>
          <a:ln>
            <a:noFill/>
          </a:ln>
          <a:effectLst/>
        </c:spPr>
      </c:pivotFmt>
      <c:pivotFmt>
        <c:idx val="235"/>
        <c:spPr>
          <a:solidFill>
            <a:srgbClr val="FFD700"/>
          </a:solidFill>
          <a:ln>
            <a:noFill/>
          </a:ln>
          <a:effectLst/>
        </c:spPr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00B050"/>
          </a:solidFill>
          <a:ln>
            <a:noFill/>
          </a:ln>
          <a:effectLst/>
        </c:spPr>
      </c:pivotFmt>
      <c:pivotFmt>
        <c:idx val="238"/>
        <c:spPr>
          <a:solidFill>
            <a:srgbClr val="FFD700"/>
          </a:solidFill>
          <a:ln>
            <a:noFill/>
          </a:ln>
          <a:effectLst/>
        </c:spPr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00B050"/>
          </a:solidFill>
          <a:ln>
            <a:noFill/>
          </a:ln>
          <a:effectLst/>
        </c:spPr>
      </c:pivotFmt>
      <c:pivotFmt>
        <c:idx val="241"/>
        <c:spPr>
          <a:solidFill>
            <a:srgbClr val="FFD700"/>
          </a:solidFill>
          <a:ln>
            <a:noFill/>
          </a:ln>
          <a:effectLst/>
        </c:spP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00B050"/>
          </a:solidFill>
          <a:ln>
            <a:noFill/>
          </a:ln>
          <a:effectLst/>
        </c:spPr>
      </c:pivotFmt>
      <c:pivotFmt>
        <c:idx val="244"/>
        <c:spPr>
          <a:solidFill>
            <a:srgbClr val="FFD700"/>
          </a:solidFill>
          <a:ln>
            <a:noFill/>
          </a:ln>
          <a:effectLst/>
        </c:spP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00B050"/>
          </a:solidFill>
          <a:ln>
            <a:noFill/>
          </a:ln>
          <a:effectLst/>
        </c:spPr>
      </c:pivotFmt>
      <c:pivotFmt>
        <c:idx val="247"/>
        <c:spPr>
          <a:solidFill>
            <a:srgbClr val="FFD700"/>
          </a:solidFill>
          <a:ln>
            <a:noFill/>
          </a:ln>
          <a:effectLst/>
        </c:spP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00B050"/>
          </a:solidFill>
          <a:ln>
            <a:noFill/>
          </a:ln>
          <a:effectLst/>
        </c:spPr>
      </c:pivotFmt>
      <c:pivotFmt>
        <c:idx val="250"/>
        <c:spPr>
          <a:solidFill>
            <a:srgbClr val="FFD700"/>
          </a:solidFill>
          <a:ln>
            <a:noFill/>
          </a:ln>
          <a:effectLst/>
        </c:spP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00B050"/>
          </a:solidFill>
          <a:ln>
            <a:noFill/>
          </a:ln>
          <a:effectLst/>
        </c:spPr>
      </c:pivotFmt>
      <c:pivotFmt>
        <c:idx val="253"/>
        <c:spPr>
          <a:solidFill>
            <a:srgbClr val="FFD700"/>
          </a:solidFill>
          <a:ln>
            <a:noFill/>
          </a:ln>
          <a:effectLst/>
        </c:spP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00B050"/>
          </a:solidFill>
          <a:ln>
            <a:noFill/>
          </a:ln>
          <a:effectLst/>
        </c:spPr>
      </c:pivotFmt>
      <c:pivotFmt>
        <c:idx val="256"/>
        <c:spPr>
          <a:solidFill>
            <a:srgbClr val="FFD700"/>
          </a:solidFill>
          <a:ln>
            <a:noFill/>
          </a:ln>
          <a:effectLst/>
        </c:spP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B050"/>
          </a:solidFill>
          <a:ln>
            <a:noFill/>
          </a:ln>
          <a:effectLst/>
        </c:spPr>
      </c:pivotFmt>
      <c:pivotFmt>
        <c:idx val="259"/>
        <c:spPr>
          <a:solidFill>
            <a:srgbClr val="FFD700"/>
          </a:solidFill>
          <a:ln>
            <a:noFill/>
          </a:ln>
          <a:effectLst/>
        </c:spP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00B050"/>
          </a:solidFill>
          <a:ln>
            <a:noFill/>
          </a:ln>
          <a:effectLst/>
        </c:spPr>
      </c:pivotFmt>
      <c:pivotFmt>
        <c:idx val="262"/>
        <c:spPr>
          <a:solidFill>
            <a:srgbClr val="FFD700"/>
          </a:solidFill>
          <a:ln>
            <a:noFill/>
          </a:ln>
          <a:effectLst/>
        </c:spP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00B050"/>
          </a:solidFill>
          <a:ln>
            <a:noFill/>
          </a:ln>
          <a:effectLst/>
        </c:spPr>
      </c:pivotFmt>
      <c:pivotFmt>
        <c:idx val="265"/>
        <c:spPr>
          <a:solidFill>
            <a:srgbClr val="FFD700"/>
          </a:solidFill>
          <a:ln>
            <a:noFill/>
          </a:ln>
          <a:effectLst/>
        </c:spP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00B050"/>
          </a:solidFill>
          <a:ln>
            <a:noFill/>
          </a:ln>
          <a:effectLst/>
        </c:spPr>
      </c:pivotFmt>
      <c:pivotFmt>
        <c:idx val="268"/>
        <c:spPr>
          <a:solidFill>
            <a:srgbClr val="FFD700"/>
          </a:solidFill>
          <a:ln>
            <a:noFill/>
          </a:ln>
          <a:effectLst/>
        </c:spP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00B050"/>
          </a:solidFill>
          <a:ln>
            <a:noFill/>
          </a:ln>
          <a:effectLst/>
        </c:spPr>
      </c:pivotFmt>
      <c:pivotFmt>
        <c:idx val="271"/>
        <c:spPr>
          <a:solidFill>
            <a:srgbClr val="FFD700"/>
          </a:solidFill>
          <a:ln>
            <a:noFill/>
          </a:ln>
          <a:effectLst/>
        </c:spP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00B050"/>
          </a:solidFill>
          <a:ln>
            <a:noFill/>
          </a:ln>
          <a:effectLst/>
        </c:spPr>
      </c:pivotFmt>
      <c:pivotFmt>
        <c:idx val="274"/>
        <c:spPr>
          <a:solidFill>
            <a:srgbClr val="FFD700"/>
          </a:solidFill>
          <a:ln>
            <a:noFill/>
          </a:ln>
          <a:effectLst/>
        </c:spP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00B050"/>
          </a:solidFill>
          <a:ln>
            <a:noFill/>
          </a:ln>
          <a:effectLst/>
        </c:spPr>
      </c:pivotFmt>
      <c:pivotFmt>
        <c:idx val="277"/>
        <c:spPr>
          <a:solidFill>
            <a:srgbClr val="FFD700"/>
          </a:solidFill>
          <a:ln>
            <a:noFill/>
          </a:ln>
          <a:effectLst/>
        </c:spP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00B050"/>
          </a:solidFill>
          <a:ln>
            <a:noFill/>
          </a:ln>
          <a:effectLst/>
        </c:spPr>
      </c:pivotFmt>
      <c:pivotFmt>
        <c:idx val="280"/>
        <c:spPr>
          <a:solidFill>
            <a:srgbClr val="FFD700"/>
          </a:solidFill>
          <a:ln>
            <a:noFill/>
          </a:ln>
          <a:effectLst/>
        </c:spP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00B050"/>
          </a:solidFill>
          <a:ln>
            <a:noFill/>
          </a:ln>
          <a:effectLst/>
        </c:spPr>
      </c:pivotFmt>
      <c:pivotFmt>
        <c:idx val="283"/>
        <c:spPr>
          <a:solidFill>
            <a:srgbClr val="FFD700"/>
          </a:solidFill>
          <a:ln>
            <a:noFill/>
          </a:ln>
          <a:effectLst/>
        </c:spPr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00B050"/>
          </a:solidFill>
          <a:ln>
            <a:noFill/>
          </a:ln>
          <a:effectLst/>
        </c:spPr>
      </c:pivotFmt>
      <c:pivotFmt>
        <c:idx val="286"/>
        <c:spPr>
          <a:solidFill>
            <a:srgbClr val="FFD700"/>
          </a:solidFill>
          <a:ln>
            <a:noFill/>
          </a:ln>
          <a:effectLst/>
        </c:spPr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00B050"/>
          </a:solidFill>
          <a:ln>
            <a:noFill/>
          </a:ln>
          <a:effectLst/>
        </c:spPr>
      </c:pivotFmt>
      <c:pivotFmt>
        <c:idx val="289"/>
        <c:spPr>
          <a:solidFill>
            <a:srgbClr val="FFD700"/>
          </a:solidFill>
          <a:ln>
            <a:noFill/>
          </a:ln>
          <a:effectLst/>
        </c:spPr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B050"/>
          </a:solidFill>
          <a:ln>
            <a:noFill/>
          </a:ln>
          <a:effectLst/>
        </c:spPr>
      </c:pivotFmt>
      <c:pivotFmt>
        <c:idx val="292"/>
        <c:spPr>
          <a:solidFill>
            <a:srgbClr val="FFD700"/>
          </a:solidFill>
          <a:ln>
            <a:noFill/>
          </a:ln>
          <a:effectLst/>
        </c:spPr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00B050"/>
          </a:solidFill>
          <a:ln>
            <a:noFill/>
          </a:ln>
          <a:effectLst/>
        </c:spPr>
      </c:pivotFmt>
      <c:pivotFmt>
        <c:idx val="295"/>
        <c:spPr>
          <a:solidFill>
            <a:srgbClr val="FFD700"/>
          </a:solidFill>
          <a:ln>
            <a:noFill/>
          </a:ln>
          <a:effectLst/>
        </c:spPr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00B050"/>
          </a:solidFill>
          <a:ln>
            <a:noFill/>
          </a:ln>
          <a:effectLst/>
        </c:spPr>
      </c:pivotFmt>
      <c:pivotFmt>
        <c:idx val="298"/>
        <c:spPr>
          <a:solidFill>
            <a:srgbClr val="FFD700"/>
          </a:solidFill>
          <a:ln>
            <a:noFill/>
          </a:ln>
          <a:effectLst/>
        </c:spPr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rgbClr val="00B050"/>
          </a:solidFill>
          <a:ln>
            <a:noFill/>
          </a:ln>
          <a:effectLst/>
        </c:spPr>
      </c:pivotFmt>
      <c:pivotFmt>
        <c:idx val="301"/>
        <c:spPr>
          <a:solidFill>
            <a:srgbClr val="FFD700"/>
          </a:solidFill>
          <a:ln>
            <a:noFill/>
          </a:ln>
          <a:effectLst/>
        </c:spPr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rgbClr val="00B050"/>
          </a:solidFill>
          <a:ln>
            <a:noFill/>
          </a:ln>
          <a:effectLst/>
        </c:spPr>
      </c:pivotFmt>
      <c:pivotFmt>
        <c:idx val="304"/>
        <c:spPr>
          <a:solidFill>
            <a:srgbClr val="FFD700"/>
          </a:solidFill>
          <a:ln>
            <a:noFill/>
          </a:ln>
          <a:effectLst/>
        </c:spPr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rgbClr val="00B050"/>
          </a:solidFill>
          <a:ln>
            <a:noFill/>
          </a:ln>
          <a:effectLst/>
        </c:spPr>
      </c:pivotFmt>
      <c:pivotFmt>
        <c:idx val="307"/>
        <c:spPr>
          <a:solidFill>
            <a:srgbClr val="FFD700"/>
          </a:solidFill>
          <a:ln>
            <a:noFill/>
          </a:ln>
          <a:effectLst/>
        </c:spPr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rgbClr val="00B050"/>
          </a:solidFill>
          <a:ln>
            <a:noFill/>
          </a:ln>
          <a:effectLst/>
        </c:spPr>
      </c:pivotFmt>
      <c:pivotFmt>
        <c:idx val="310"/>
        <c:spPr>
          <a:solidFill>
            <a:srgbClr val="FFD700"/>
          </a:solidFill>
          <a:ln>
            <a:noFill/>
          </a:ln>
          <a:effectLst/>
        </c:spPr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rgbClr val="00B050"/>
          </a:solidFill>
          <a:ln>
            <a:noFill/>
          </a:ln>
          <a:effectLst/>
        </c:spPr>
      </c:pivotFmt>
      <c:pivotFmt>
        <c:idx val="313"/>
        <c:spPr>
          <a:solidFill>
            <a:srgbClr val="FFD700"/>
          </a:solidFill>
          <a:ln>
            <a:noFill/>
          </a:ln>
          <a:effectLst/>
        </c:spPr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rgbClr val="00B050"/>
          </a:solidFill>
          <a:ln>
            <a:noFill/>
          </a:ln>
          <a:effectLst/>
        </c:spPr>
      </c:pivotFmt>
      <c:pivotFmt>
        <c:idx val="316"/>
        <c:spPr>
          <a:solidFill>
            <a:srgbClr val="FFD700"/>
          </a:solidFill>
          <a:ln>
            <a:noFill/>
          </a:ln>
          <a:effectLst/>
        </c:spPr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rgbClr val="00B050"/>
          </a:solidFill>
          <a:ln>
            <a:noFill/>
          </a:ln>
          <a:effectLst/>
        </c:spPr>
      </c:pivotFmt>
      <c:pivotFmt>
        <c:idx val="319"/>
        <c:spPr>
          <a:solidFill>
            <a:srgbClr val="FFD700"/>
          </a:solidFill>
          <a:ln>
            <a:noFill/>
          </a:ln>
          <a:effectLst/>
        </c:spPr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rgbClr val="00B050"/>
          </a:solidFill>
          <a:ln>
            <a:noFill/>
          </a:ln>
          <a:effectLst/>
        </c:spPr>
      </c:pivotFmt>
      <c:pivotFmt>
        <c:idx val="322"/>
        <c:spPr>
          <a:solidFill>
            <a:srgbClr val="FFD700"/>
          </a:solidFill>
          <a:ln>
            <a:noFill/>
          </a:ln>
          <a:effectLst/>
        </c:spPr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rgbClr val="00B050"/>
          </a:solidFill>
          <a:ln>
            <a:noFill/>
          </a:ln>
          <a:effectLst/>
        </c:spPr>
      </c:pivotFmt>
      <c:pivotFmt>
        <c:idx val="325"/>
        <c:spPr>
          <a:solidFill>
            <a:srgbClr val="FFD700"/>
          </a:solidFill>
          <a:ln>
            <a:noFill/>
          </a:ln>
          <a:effectLst/>
        </c:spPr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rgbClr val="00B050"/>
          </a:solidFill>
          <a:ln>
            <a:noFill/>
          </a:ln>
          <a:effectLst/>
        </c:spPr>
      </c:pivotFmt>
      <c:pivotFmt>
        <c:idx val="328"/>
        <c:spPr>
          <a:solidFill>
            <a:srgbClr val="FFD700"/>
          </a:solidFill>
          <a:ln>
            <a:noFill/>
          </a:ln>
          <a:effectLst/>
        </c:spPr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rgbClr val="00B050"/>
          </a:solidFill>
          <a:ln>
            <a:noFill/>
          </a:ln>
          <a:effectLst/>
        </c:spPr>
      </c:pivotFmt>
      <c:pivotFmt>
        <c:idx val="331"/>
        <c:spPr>
          <a:solidFill>
            <a:srgbClr val="FFD700"/>
          </a:solidFill>
          <a:ln>
            <a:noFill/>
          </a:ln>
          <a:effectLst/>
        </c:spPr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rgbClr val="00B050"/>
          </a:solidFill>
          <a:ln>
            <a:noFill/>
          </a:ln>
          <a:effectLst/>
        </c:spPr>
      </c:pivotFmt>
      <c:pivotFmt>
        <c:idx val="334"/>
        <c:spPr>
          <a:solidFill>
            <a:srgbClr val="FFD700"/>
          </a:solidFill>
          <a:ln>
            <a:noFill/>
          </a:ln>
          <a:effectLst/>
        </c:spPr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rgbClr val="00B050"/>
          </a:solidFill>
          <a:ln>
            <a:noFill/>
          </a:ln>
          <a:effectLst/>
        </c:spPr>
      </c:pivotFmt>
      <c:pivotFmt>
        <c:idx val="337"/>
        <c:spPr>
          <a:solidFill>
            <a:srgbClr val="FFD700"/>
          </a:solidFill>
          <a:ln>
            <a:noFill/>
          </a:ln>
          <a:effectLst/>
        </c:spPr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rgbClr val="00B050"/>
          </a:solidFill>
          <a:ln>
            <a:noFill/>
          </a:ln>
          <a:effectLst/>
        </c:spPr>
      </c:pivotFmt>
      <c:pivotFmt>
        <c:idx val="340"/>
        <c:spPr>
          <a:solidFill>
            <a:srgbClr val="FFD700"/>
          </a:solidFill>
          <a:ln>
            <a:noFill/>
          </a:ln>
          <a:effectLst/>
        </c:spPr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rgbClr val="00B050"/>
          </a:solidFill>
          <a:ln>
            <a:noFill/>
          </a:ln>
          <a:effectLst/>
        </c:spPr>
      </c:pivotFmt>
      <c:pivotFmt>
        <c:idx val="343"/>
        <c:spPr>
          <a:solidFill>
            <a:srgbClr val="FFD700"/>
          </a:solidFill>
          <a:ln>
            <a:noFill/>
          </a:ln>
          <a:effectLst/>
        </c:spPr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rgbClr val="00B050"/>
          </a:solidFill>
          <a:ln>
            <a:noFill/>
          </a:ln>
          <a:effectLst/>
        </c:spPr>
      </c:pivotFmt>
      <c:pivotFmt>
        <c:idx val="346"/>
        <c:spPr>
          <a:solidFill>
            <a:srgbClr val="FFD700"/>
          </a:solidFill>
          <a:ln>
            <a:noFill/>
          </a:ln>
          <a:effectLst/>
        </c:spPr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rgbClr val="00B050"/>
          </a:solidFill>
          <a:ln>
            <a:noFill/>
          </a:ln>
          <a:effectLst/>
        </c:spPr>
      </c:pivotFmt>
      <c:pivotFmt>
        <c:idx val="349"/>
        <c:spPr>
          <a:solidFill>
            <a:srgbClr val="FFD700"/>
          </a:solidFill>
          <a:ln>
            <a:noFill/>
          </a:ln>
          <a:effectLst/>
        </c:spPr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rgbClr val="00B050"/>
          </a:solidFill>
          <a:ln>
            <a:noFill/>
          </a:ln>
          <a:effectLst/>
        </c:spPr>
      </c:pivotFmt>
      <c:pivotFmt>
        <c:idx val="352"/>
        <c:spPr>
          <a:solidFill>
            <a:srgbClr val="FFD700"/>
          </a:solidFill>
          <a:ln>
            <a:noFill/>
          </a:ln>
          <a:effectLst/>
        </c:spPr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rgbClr val="00B050"/>
          </a:solidFill>
          <a:ln>
            <a:noFill/>
          </a:ln>
          <a:effectLst/>
        </c:spPr>
      </c:pivotFmt>
      <c:pivotFmt>
        <c:idx val="355"/>
        <c:spPr>
          <a:solidFill>
            <a:srgbClr val="FFD700"/>
          </a:solidFill>
          <a:ln>
            <a:noFill/>
          </a:ln>
          <a:effectLst/>
        </c:spPr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rgbClr val="00B050"/>
          </a:solidFill>
          <a:ln>
            <a:noFill/>
          </a:ln>
          <a:effectLst/>
        </c:spPr>
      </c:pivotFmt>
      <c:pivotFmt>
        <c:idx val="358"/>
        <c:spPr>
          <a:solidFill>
            <a:srgbClr val="FFD700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rgbClr val="00B050"/>
          </a:solidFill>
          <a:ln>
            <a:noFill/>
          </a:ln>
          <a:effectLst/>
        </c:spPr>
      </c:pivotFmt>
      <c:pivotFmt>
        <c:idx val="361"/>
        <c:spPr>
          <a:solidFill>
            <a:srgbClr val="FFD700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rgbClr val="00B050"/>
          </a:solidFill>
          <a:ln>
            <a:noFill/>
          </a:ln>
          <a:effectLst/>
        </c:spPr>
      </c:pivotFmt>
      <c:pivotFmt>
        <c:idx val="364"/>
        <c:spPr>
          <a:solidFill>
            <a:srgbClr val="FFD700"/>
          </a:solidFill>
          <a:ln>
            <a:noFill/>
          </a:ln>
          <a:effectLst/>
        </c:spPr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rgbClr val="00B050"/>
          </a:solidFill>
          <a:ln>
            <a:noFill/>
          </a:ln>
          <a:effectLst/>
        </c:spPr>
      </c:pivotFmt>
      <c:pivotFmt>
        <c:idx val="367"/>
        <c:spPr>
          <a:solidFill>
            <a:srgbClr val="FFD700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rgbClr val="00B050"/>
          </a:solidFill>
          <a:ln>
            <a:noFill/>
          </a:ln>
          <a:effectLst/>
        </c:spPr>
      </c:pivotFmt>
      <c:pivotFmt>
        <c:idx val="370"/>
        <c:spPr>
          <a:solidFill>
            <a:srgbClr val="FFD700"/>
          </a:solidFill>
          <a:ln>
            <a:noFill/>
          </a:ln>
          <a:effectLst/>
        </c:spPr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rgbClr val="00B050"/>
          </a:solidFill>
          <a:ln>
            <a:noFill/>
          </a:ln>
          <a:effectLst/>
        </c:spPr>
      </c:pivotFmt>
      <c:pivotFmt>
        <c:idx val="373"/>
        <c:spPr>
          <a:solidFill>
            <a:srgbClr val="FFD700"/>
          </a:solidFill>
          <a:ln>
            <a:noFill/>
          </a:ln>
          <a:effectLst/>
        </c:spPr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rgbClr val="00B050"/>
          </a:solidFill>
          <a:ln>
            <a:noFill/>
          </a:ln>
          <a:effectLst/>
        </c:spPr>
      </c:pivotFmt>
      <c:pivotFmt>
        <c:idx val="376"/>
        <c:spPr>
          <a:solidFill>
            <a:srgbClr val="FFD700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rgbClr val="00B050"/>
          </a:solidFill>
          <a:ln>
            <a:noFill/>
          </a:ln>
          <a:effectLst/>
        </c:spPr>
      </c:pivotFmt>
      <c:pivotFmt>
        <c:idx val="379"/>
        <c:spPr>
          <a:solidFill>
            <a:srgbClr val="FFD700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rgbClr val="00B050"/>
          </a:solidFill>
          <a:ln>
            <a:noFill/>
          </a:ln>
          <a:effectLst/>
        </c:spPr>
      </c:pivotFmt>
      <c:pivotFmt>
        <c:idx val="382"/>
        <c:spPr>
          <a:solidFill>
            <a:srgbClr val="FFD700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rgbClr val="00B050"/>
          </a:solidFill>
          <a:ln>
            <a:noFill/>
          </a:ln>
          <a:effectLst/>
        </c:spPr>
      </c:pivotFmt>
      <c:pivotFmt>
        <c:idx val="385"/>
        <c:spPr>
          <a:solidFill>
            <a:srgbClr val="FFD7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쿼리_피벗!$C$6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4BE-4E71-B85E-66A3A6C9B3AC}"/>
              </c:ext>
            </c:extLst>
          </c:dPt>
          <c:dPt>
            <c:idx val="2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4BE-4E71-B85E-66A3A6C9B3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쿼리_피벗!$B$7:$B$10</c:f>
              <c:strCache>
                <c:ptCount val="3"/>
                <c:pt idx="0">
                  <c:v>진포장</c:v>
                </c:pt>
                <c:pt idx="1">
                  <c:v>엠에스팩</c:v>
                </c:pt>
                <c:pt idx="2">
                  <c:v>모든팩</c:v>
                </c:pt>
              </c:strCache>
            </c:strRef>
          </c:cat>
          <c:val>
            <c:numRef>
              <c:f>쿼리_피벗!$C$7:$C$10</c:f>
              <c:numCache>
                <c:formatCode>#,##0</c:formatCode>
                <c:ptCount val="3"/>
                <c:pt idx="0">
                  <c:v>111851613.09999999</c:v>
                </c:pt>
                <c:pt idx="1">
                  <c:v>38106703.5</c:v>
                </c:pt>
                <c:pt idx="2">
                  <c:v>38312254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BE-4E71-B85E-66A3A6C9B3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3007"/>
        <c:axId val="1604447"/>
      </c:barChart>
      <c:catAx>
        <c:axId val="1603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4447"/>
        <c:crosses val="autoZero"/>
        <c:auto val="1"/>
        <c:lblAlgn val="ctr"/>
        <c:lblOffset val="100"/>
        <c:noMultiLvlLbl val="0"/>
      </c:catAx>
      <c:valAx>
        <c:axId val="1604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[협력사(제대)매출추정_대시보드_류홍규_작업본_v1.01_20241125_외부발행.xlsm]쿼리_피벗!12월피벗2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12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월 </a:t>
            </a:r>
            <a:r>
              <a:rPr lang="ko-KR" altLang="en-US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협력사</a:t>
            </a: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(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제대</a:t>
            </a: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) </a:t>
            </a:r>
            <a:r>
              <a:rPr lang="ko-KR" altLang="en-US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세부공정별</a:t>
            </a:r>
            <a:r>
              <a:rPr lang="en-US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</a:t>
            </a:r>
            <a:r>
              <a:rPr lang="ko-KR" altLang="en-US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예상</a:t>
            </a:r>
            <a:r>
              <a:rPr lang="ko-KR" altLang="ko-KR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매출액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D700"/>
          </a:solidFill>
          <a:ln>
            <a:noFill/>
          </a:ln>
          <a:effectLst/>
        </c:spPr>
      </c:pivotFmt>
      <c:pivotFmt>
        <c:idx val="35"/>
        <c:spPr>
          <a:solidFill>
            <a:srgbClr val="FFD700"/>
          </a:solidFill>
          <a:ln>
            <a:noFill/>
          </a:ln>
          <a:effectLst/>
        </c:spPr>
      </c:pivotFmt>
      <c:pivotFmt>
        <c:idx val="36"/>
        <c:spPr>
          <a:solidFill>
            <a:srgbClr val="FFD700"/>
          </a:solidFill>
          <a:ln>
            <a:noFill/>
          </a:ln>
          <a:effectLst/>
        </c:spPr>
      </c:pivotFmt>
      <c:pivotFmt>
        <c:idx val="37"/>
        <c:spPr>
          <a:solidFill>
            <a:srgbClr val="00B050"/>
          </a:solidFill>
          <a:ln>
            <a:noFill/>
          </a:ln>
          <a:effectLst/>
        </c:spPr>
      </c:pivotFmt>
      <c:pivotFmt>
        <c:idx val="38"/>
        <c:spPr>
          <a:solidFill>
            <a:srgbClr val="00B050"/>
          </a:solidFill>
          <a:ln>
            <a:noFill/>
          </a:ln>
          <a:effectLst/>
        </c:spPr>
      </c:pivotFmt>
      <c:pivotFmt>
        <c:idx val="39"/>
        <c:spPr>
          <a:solidFill>
            <a:srgbClr val="00B050"/>
          </a:solidFill>
          <a:ln>
            <a:noFill/>
          </a:ln>
          <a:effectLst/>
        </c:spPr>
      </c:pivotFmt>
      <c:pivotFmt>
        <c:idx val="40"/>
        <c:spPr>
          <a:solidFill>
            <a:srgbClr val="00B050"/>
          </a:solidFill>
          <a:ln>
            <a:noFill/>
          </a:ln>
          <a:effectLst/>
        </c:spPr>
      </c:pivotFmt>
      <c:pivotFmt>
        <c:idx val="41"/>
        <c:spPr>
          <a:solidFill>
            <a:srgbClr val="00B050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FFD700"/>
          </a:solidFill>
          <a:ln>
            <a:noFill/>
          </a:ln>
          <a:effectLst/>
        </c:spPr>
      </c:pivotFmt>
      <c:pivotFmt>
        <c:idx val="44"/>
        <c:spPr>
          <a:solidFill>
            <a:srgbClr val="FFD700"/>
          </a:solidFill>
          <a:ln>
            <a:noFill/>
          </a:ln>
          <a:effectLst/>
        </c:spPr>
      </c:pivotFmt>
      <c:pivotFmt>
        <c:idx val="45"/>
        <c:spPr>
          <a:solidFill>
            <a:srgbClr val="FFD700"/>
          </a:solidFill>
          <a:ln>
            <a:noFill/>
          </a:ln>
          <a:effectLst/>
        </c:spPr>
      </c:pivotFmt>
      <c:pivotFmt>
        <c:idx val="46"/>
        <c:spPr>
          <a:solidFill>
            <a:srgbClr val="00B050"/>
          </a:solidFill>
          <a:ln>
            <a:noFill/>
          </a:ln>
          <a:effectLst/>
        </c:spPr>
      </c:pivotFmt>
      <c:pivotFmt>
        <c:idx val="47"/>
        <c:spPr>
          <a:solidFill>
            <a:srgbClr val="00B050"/>
          </a:solidFill>
          <a:ln>
            <a:noFill/>
          </a:ln>
          <a:effectLst/>
        </c:spPr>
      </c:pivotFmt>
      <c:pivotFmt>
        <c:idx val="48"/>
        <c:spPr>
          <a:solidFill>
            <a:srgbClr val="00B050"/>
          </a:solidFill>
          <a:ln>
            <a:noFill/>
          </a:ln>
          <a:effectLst/>
        </c:spPr>
      </c:pivotFmt>
      <c:pivotFmt>
        <c:idx val="49"/>
        <c:spPr>
          <a:solidFill>
            <a:srgbClr val="00B050"/>
          </a:solidFill>
          <a:ln>
            <a:noFill/>
          </a:ln>
          <a:effectLst/>
        </c:spPr>
      </c:pivotFmt>
      <c:pivotFmt>
        <c:idx val="50"/>
        <c:spPr>
          <a:solidFill>
            <a:srgbClr val="00B050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D700"/>
          </a:solidFill>
          <a:ln>
            <a:noFill/>
          </a:ln>
          <a:effectLst/>
        </c:spPr>
      </c:pivotFmt>
      <c:pivotFmt>
        <c:idx val="53"/>
        <c:spPr>
          <a:solidFill>
            <a:srgbClr val="FFD700"/>
          </a:solidFill>
          <a:ln>
            <a:noFill/>
          </a:ln>
          <a:effectLst/>
        </c:spPr>
      </c:pivotFmt>
      <c:pivotFmt>
        <c:idx val="54"/>
        <c:spPr>
          <a:solidFill>
            <a:srgbClr val="FFD700"/>
          </a:solidFill>
          <a:ln>
            <a:noFill/>
          </a:ln>
          <a:effectLst/>
        </c:spPr>
      </c:pivotFmt>
      <c:pivotFmt>
        <c:idx val="55"/>
        <c:spPr>
          <a:solidFill>
            <a:srgbClr val="00B050"/>
          </a:solidFill>
          <a:ln>
            <a:noFill/>
          </a:ln>
          <a:effectLst/>
        </c:spPr>
      </c:pivotFmt>
      <c:pivotFmt>
        <c:idx val="56"/>
        <c:spPr>
          <a:solidFill>
            <a:srgbClr val="00B050"/>
          </a:solidFill>
          <a:ln>
            <a:noFill/>
          </a:ln>
          <a:effectLst/>
        </c:spPr>
      </c:pivotFmt>
      <c:pivotFmt>
        <c:idx val="57"/>
        <c:spPr>
          <a:solidFill>
            <a:srgbClr val="00B050"/>
          </a:solidFill>
          <a:ln>
            <a:noFill/>
          </a:ln>
          <a:effectLst/>
        </c:spPr>
      </c:pivotFmt>
      <c:pivotFmt>
        <c:idx val="58"/>
        <c:spPr>
          <a:solidFill>
            <a:srgbClr val="00B050"/>
          </a:solidFill>
          <a:ln>
            <a:noFill/>
          </a:ln>
          <a:effectLst/>
        </c:spPr>
      </c:pivotFmt>
      <c:pivotFmt>
        <c:idx val="59"/>
        <c:spPr>
          <a:solidFill>
            <a:srgbClr val="00B050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FFD700"/>
          </a:solidFill>
          <a:ln>
            <a:noFill/>
          </a:ln>
          <a:effectLst/>
        </c:spPr>
      </c:pivotFmt>
      <c:pivotFmt>
        <c:idx val="62"/>
        <c:spPr>
          <a:solidFill>
            <a:srgbClr val="FFD700"/>
          </a:solidFill>
          <a:ln>
            <a:noFill/>
          </a:ln>
          <a:effectLst/>
        </c:spPr>
      </c:pivotFmt>
      <c:pivotFmt>
        <c:idx val="63"/>
        <c:spPr>
          <a:solidFill>
            <a:srgbClr val="FFD700"/>
          </a:solidFill>
          <a:ln>
            <a:noFill/>
          </a:ln>
          <a:effectLst/>
        </c:spPr>
      </c:pivotFmt>
      <c:pivotFmt>
        <c:idx val="64"/>
        <c:spPr>
          <a:solidFill>
            <a:srgbClr val="00B050"/>
          </a:solidFill>
          <a:ln>
            <a:noFill/>
          </a:ln>
          <a:effectLst/>
        </c:spPr>
      </c:pivotFmt>
      <c:pivotFmt>
        <c:idx val="65"/>
        <c:spPr>
          <a:solidFill>
            <a:srgbClr val="00B050"/>
          </a:solidFill>
          <a:ln>
            <a:noFill/>
          </a:ln>
          <a:effectLst/>
        </c:spPr>
      </c:pivotFmt>
      <c:pivotFmt>
        <c:idx val="66"/>
        <c:spPr>
          <a:solidFill>
            <a:srgbClr val="00B050"/>
          </a:solidFill>
          <a:ln>
            <a:noFill/>
          </a:ln>
          <a:effectLst/>
        </c:spPr>
      </c:pivotFmt>
      <c:pivotFmt>
        <c:idx val="67"/>
        <c:spPr>
          <a:solidFill>
            <a:srgbClr val="00B050"/>
          </a:solidFill>
          <a:ln>
            <a:noFill/>
          </a:ln>
          <a:effectLst/>
        </c:spPr>
      </c:pivotFmt>
      <c:pivotFmt>
        <c:idx val="68"/>
        <c:spPr>
          <a:solidFill>
            <a:srgbClr val="00B050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FFD700"/>
          </a:solidFill>
          <a:ln>
            <a:noFill/>
          </a:ln>
          <a:effectLst/>
        </c:spPr>
      </c:pivotFmt>
      <c:pivotFmt>
        <c:idx val="71"/>
        <c:spPr>
          <a:solidFill>
            <a:srgbClr val="FFD700"/>
          </a:solidFill>
          <a:ln>
            <a:noFill/>
          </a:ln>
          <a:effectLst/>
        </c:spPr>
      </c:pivotFmt>
      <c:pivotFmt>
        <c:idx val="72"/>
        <c:spPr>
          <a:solidFill>
            <a:srgbClr val="FFD700"/>
          </a:solidFill>
          <a:ln>
            <a:noFill/>
          </a:ln>
          <a:effectLst/>
        </c:spPr>
      </c:pivotFmt>
      <c:pivotFmt>
        <c:idx val="73"/>
        <c:spPr>
          <a:solidFill>
            <a:srgbClr val="00B050"/>
          </a:solidFill>
          <a:ln>
            <a:noFill/>
          </a:ln>
          <a:effectLst/>
        </c:spPr>
      </c:pivotFmt>
      <c:pivotFmt>
        <c:idx val="74"/>
        <c:spPr>
          <a:solidFill>
            <a:srgbClr val="00B050"/>
          </a:solidFill>
          <a:ln>
            <a:noFill/>
          </a:ln>
          <a:effectLst/>
        </c:spPr>
      </c:pivotFmt>
      <c:pivotFmt>
        <c:idx val="75"/>
        <c:spPr>
          <a:solidFill>
            <a:srgbClr val="00B050"/>
          </a:solidFill>
          <a:ln>
            <a:noFill/>
          </a:ln>
          <a:effectLst/>
        </c:spPr>
      </c:pivotFmt>
      <c:pivotFmt>
        <c:idx val="76"/>
        <c:spPr>
          <a:solidFill>
            <a:srgbClr val="00B050"/>
          </a:solidFill>
          <a:ln>
            <a:noFill/>
          </a:ln>
          <a:effectLst/>
        </c:spPr>
      </c:pivotFmt>
      <c:pivotFmt>
        <c:idx val="77"/>
        <c:spPr>
          <a:solidFill>
            <a:srgbClr val="00B050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rgbClr val="FFD700"/>
          </a:solidFill>
          <a:ln>
            <a:noFill/>
          </a:ln>
          <a:effectLst/>
        </c:spPr>
      </c:pivotFmt>
      <c:pivotFmt>
        <c:idx val="80"/>
        <c:spPr>
          <a:solidFill>
            <a:srgbClr val="FFD700"/>
          </a:solidFill>
          <a:ln>
            <a:noFill/>
          </a:ln>
          <a:effectLst/>
        </c:spPr>
      </c:pivotFmt>
      <c:pivotFmt>
        <c:idx val="81"/>
        <c:spPr>
          <a:solidFill>
            <a:srgbClr val="FFD700"/>
          </a:solidFill>
          <a:ln>
            <a:noFill/>
          </a:ln>
          <a:effectLst/>
        </c:spPr>
      </c:pivotFmt>
      <c:pivotFmt>
        <c:idx val="82"/>
        <c:spPr>
          <a:solidFill>
            <a:srgbClr val="00B050"/>
          </a:solidFill>
          <a:ln>
            <a:noFill/>
          </a:ln>
          <a:effectLst/>
        </c:spPr>
      </c:pivotFmt>
      <c:pivotFmt>
        <c:idx val="83"/>
        <c:spPr>
          <a:solidFill>
            <a:srgbClr val="00B050"/>
          </a:solidFill>
          <a:ln>
            <a:noFill/>
          </a:ln>
          <a:effectLst/>
        </c:spPr>
      </c:pivotFmt>
      <c:pivotFmt>
        <c:idx val="84"/>
        <c:spPr>
          <a:solidFill>
            <a:srgbClr val="00B050"/>
          </a:solidFill>
          <a:ln>
            <a:noFill/>
          </a:ln>
          <a:effectLst/>
        </c:spPr>
      </c:pivotFmt>
      <c:pivotFmt>
        <c:idx val="85"/>
        <c:spPr>
          <a:solidFill>
            <a:srgbClr val="00B050"/>
          </a:solidFill>
          <a:ln>
            <a:noFill/>
          </a:ln>
          <a:effectLst/>
        </c:spPr>
      </c:pivotFmt>
      <c:pivotFmt>
        <c:idx val="86"/>
        <c:spPr>
          <a:solidFill>
            <a:srgbClr val="00B050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D700"/>
          </a:solidFill>
          <a:ln>
            <a:noFill/>
          </a:ln>
          <a:effectLst/>
        </c:spPr>
      </c:pivotFmt>
      <c:pivotFmt>
        <c:idx val="89"/>
        <c:spPr>
          <a:solidFill>
            <a:srgbClr val="FFD700"/>
          </a:solidFill>
          <a:ln>
            <a:noFill/>
          </a:ln>
          <a:effectLst/>
        </c:spPr>
      </c:pivotFmt>
      <c:pivotFmt>
        <c:idx val="90"/>
        <c:spPr>
          <a:solidFill>
            <a:srgbClr val="FFD700"/>
          </a:solidFill>
          <a:ln>
            <a:noFill/>
          </a:ln>
          <a:effectLst/>
        </c:spPr>
      </c:pivotFmt>
      <c:pivotFmt>
        <c:idx val="91"/>
        <c:spPr>
          <a:solidFill>
            <a:srgbClr val="00B050"/>
          </a:solidFill>
          <a:ln>
            <a:noFill/>
          </a:ln>
          <a:effectLst/>
        </c:spPr>
      </c:pivotFmt>
      <c:pivotFmt>
        <c:idx val="92"/>
        <c:spPr>
          <a:solidFill>
            <a:srgbClr val="00B050"/>
          </a:solidFill>
          <a:ln>
            <a:noFill/>
          </a:ln>
          <a:effectLst/>
        </c:spPr>
      </c:pivotFmt>
      <c:pivotFmt>
        <c:idx val="93"/>
        <c:spPr>
          <a:solidFill>
            <a:srgbClr val="00B050"/>
          </a:solidFill>
          <a:ln>
            <a:noFill/>
          </a:ln>
          <a:effectLst/>
        </c:spPr>
      </c:pivotFmt>
      <c:pivotFmt>
        <c:idx val="94"/>
        <c:spPr>
          <a:solidFill>
            <a:srgbClr val="00B050"/>
          </a:solidFill>
          <a:ln>
            <a:noFill/>
          </a:ln>
          <a:effectLst/>
        </c:spPr>
      </c:pivotFmt>
      <c:pivotFmt>
        <c:idx val="95"/>
        <c:spPr>
          <a:solidFill>
            <a:srgbClr val="00B050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FFD700"/>
          </a:solidFill>
          <a:ln>
            <a:noFill/>
          </a:ln>
          <a:effectLst/>
        </c:spPr>
      </c:pivotFmt>
      <c:pivotFmt>
        <c:idx val="98"/>
        <c:spPr>
          <a:solidFill>
            <a:srgbClr val="FFD700"/>
          </a:solidFill>
          <a:ln>
            <a:noFill/>
          </a:ln>
          <a:effectLst/>
        </c:spPr>
      </c:pivotFmt>
      <c:pivotFmt>
        <c:idx val="99"/>
        <c:spPr>
          <a:solidFill>
            <a:srgbClr val="FFD700"/>
          </a:solidFill>
          <a:ln>
            <a:noFill/>
          </a:ln>
          <a:effectLst/>
        </c:spPr>
      </c:pivotFmt>
      <c:pivotFmt>
        <c:idx val="100"/>
        <c:spPr>
          <a:solidFill>
            <a:srgbClr val="00B050"/>
          </a:solidFill>
          <a:ln>
            <a:noFill/>
          </a:ln>
          <a:effectLst/>
        </c:spPr>
      </c:pivotFmt>
      <c:pivotFmt>
        <c:idx val="101"/>
        <c:spPr>
          <a:solidFill>
            <a:srgbClr val="00B050"/>
          </a:solidFill>
          <a:ln>
            <a:noFill/>
          </a:ln>
          <a:effectLst/>
        </c:spPr>
      </c:pivotFmt>
      <c:pivotFmt>
        <c:idx val="102"/>
        <c:spPr>
          <a:solidFill>
            <a:srgbClr val="00B050"/>
          </a:solidFill>
          <a:ln>
            <a:noFill/>
          </a:ln>
          <a:effectLst/>
        </c:spPr>
      </c:pivotFmt>
      <c:pivotFmt>
        <c:idx val="103"/>
        <c:spPr>
          <a:solidFill>
            <a:srgbClr val="00B050"/>
          </a:solidFill>
          <a:ln>
            <a:noFill/>
          </a:ln>
          <a:effectLst/>
        </c:spPr>
      </c:pivotFmt>
      <c:pivotFmt>
        <c:idx val="104"/>
        <c:spPr>
          <a:solidFill>
            <a:srgbClr val="00B050"/>
          </a:solidFill>
          <a:ln>
            <a:noFill/>
          </a:ln>
          <a:effectLst/>
        </c:spP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FFD700"/>
          </a:solidFill>
          <a:ln>
            <a:noFill/>
          </a:ln>
          <a:effectLst/>
        </c:spPr>
      </c:pivotFmt>
      <c:pivotFmt>
        <c:idx val="107"/>
        <c:spPr>
          <a:solidFill>
            <a:srgbClr val="FFD700"/>
          </a:solidFill>
          <a:ln>
            <a:noFill/>
          </a:ln>
          <a:effectLst/>
        </c:spPr>
      </c:pivotFmt>
      <c:pivotFmt>
        <c:idx val="108"/>
        <c:spPr>
          <a:solidFill>
            <a:srgbClr val="FFD700"/>
          </a:solidFill>
          <a:ln>
            <a:noFill/>
          </a:ln>
          <a:effectLst/>
        </c:spPr>
      </c:pivotFmt>
      <c:pivotFmt>
        <c:idx val="109"/>
        <c:spPr>
          <a:solidFill>
            <a:srgbClr val="00B050"/>
          </a:solidFill>
          <a:ln>
            <a:noFill/>
          </a:ln>
          <a:effectLst/>
        </c:spPr>
      </c:pivotFmt>
      <c:pivotFmt>
        <c:idx val="110"/>
        <c:spPr>
          <a:solidFill>
            <a:srgbClr val="00B050"/>
          </a:solidFill>
          <a:ln>
            <a:noFill/>
          </a:ln>
          <a:effectLst/>
        </c:spPr>
      </c:pivotFmt>
      <c:pivotFmt>
        <c:idx val="111"/>
        <c:spPr>
          <a:solidFill>
            <a:srgbClr val="00B050"/>
          </a:solidFill>
          <a:ln>
            <a:noFill/>
          </a:ln>
          <a:effectLst/>
        </c:spPr>
      </c:pivotFmt>
      <c:pivotFmt>
        <c:idx val="112"/>
        <c:spPr>
          <a:solidFill>
            <a:srgbClr val="00B050"/>
          </a:solidFill>
          <a:ln>
            <a:noFill/>
          </a:ln>
          <a:effectLst/>
        </c:spPr>
      </c:pivotFmt>
      <c:pivotFmt>
        <c:idx val="113"/>
        <c:spPr>
          <a:solidFill>
            <a:srgbClr val="00B050"/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FD700"/>
          </a:solidFill>
          <a:ln>
            <a:noFill/>
          </a:ln>
          <a:effectLst/>
        </c:spPr>
      </c:pivotFmt>
      <c:pivotFmt>
        <c:idx val="116"/>
        <c:spPr>
          <a:solidFill>
            <a:srgbClr val="FFD700"/>
          </a:solidFill>
          <a:ln>
            <a:noFill/>
          </a:ln>
          <a:effectLst/>
        </c:spPr>
      </c:pivotFmt>
      <c:pivotFmt>
        <c:idx val="117"/>
        <c:spPr>
          <a:solidFill>
            <a:srgbClr val="FFD700"/>
          </a:solidFill>
          <a:ln>
            <a:noFill/>
          </a:ln>
          <a:effectLst/>
        </c:spPr>
      </c:pivotFmt>
      <c:pivotFmt>
        <c:idx val="118"/>
        <c:spPr>
          <a:solidFill>
            <a:srgbClr val="00B050"/>
          </a:solidFill>
          <a:ln>
            <a:noFill/>
          </a:ln>
          <a:effectLst/>
        </c:spPr>
      </c:pivotFmt>
      <c:pivotFmt>
        <c:idx val="119"/>
        <c:spPr>
          <a:solidFill>
            <a:srgbClr val="00B050"/>
          </a:solidFill>
          <a:ln>
            <a:noFill/>
          </a:ln>
          <a:effectLst/>
        </c:spPr>
      </c:pivotFmt>
      <c:pivotFmt>
        <c:idx val="120"/>
        <c:spPr>
          <a:solidFill>
            <a:srgbClr val="00B050"/>
          </a:solidFill>
          <a:ln>
            <a:noFill/>
          </a:ln>
          <a:effectLst/>
        </c:spPr>
      </c:pivotFmt>
      <c:pivotFmt>
        <c:idx val="121"/>
        <c:spPr>
          <a:solidFill>
            <a:srgbClr val="00B050"/>
          </a:solidFill>
          <a:ln>
            <a:noFill/>
          </a:ln>
          <a:effectLst/>
        </c:spPr>
      </c:pivotFmt>
      <c:pivotFmt>
        <c:idx val="122"/>
        <c:spPr>
          <a:solidFill>
            <a:srgbClr val="00B050"/>
          </a:solidFill>
          <a:ln>
            <a:noFill/>
          </a:ln>
          <a:effectLst/>
        </c:spPr>
      </c:pivotFmt>
      <c:pivotFmt>
        <c:idx val="123"/>
        <c:spPr>
          <a:solidFill>
            <a:srgbClr val="FF0000"/>
          </a:solidFill>
          <a:ln>
            <a:noFill/>
          </a:ln>
          <a:effectLst/>
        </c:spPr>
      </c:pivotFmt>
      <c:pivotFmt>
        <c:idx val="124"/>
        <c:spPr>
          <a:solidFill>
            <a:srgbClr val="FF0000"/>
          </a:solidFill>
          <a:ln>
            <a:noFill/>
          </a:ln>
          <a:effectLst/>
        </c:spPr>
      </c:pivotFmt>
      <c:pivotFmt>
        <c:idx val="125"/>
        <c:spPr>
          <a:solidFill>
            <a:srgbClr val="FF0000"/>
          </a:solidFill>
          <a:ln>
            <a:noFill/>
          </a:ln>
          <a:effectLst/>
        </c:spPr>
      </c:pivotFmt>
      <c:pivotFmt>
        <c:idx val="126"/>
        <c:spPr>
          <a:solidFill>
            <a:srgbClr val="FF0000"/>
          </a:solidFill>
          <a:ln>
            <a:noFill/>
          </a:ln>
          <a:effectLst/>
        </c:spPr>
      </c:pivotFmt>
      <c:pivotFmt>
        <c:idx val="127"/>
        <c:spPr>
          <a:solidFill>
            <a:srgbClr val="FF0000"/>
          </a:solidFill>
          <a:ln>
            <a:noFill/>
          </a:ln>
          <a:effectLst/>
        </c:spPr>
      </c:pivotFmt>
      <c:pivotFmt>
        <c:idx val="128"/>
        <c:spPr>
          <a:solidFill>
            <a:srgbClr val="FF0000"/>
          </a:solidFill>
          <a:ln>
            <a:noFill/>
          </a:ln>
          <a:effectLst/>
        </c:spPr>
      </c:pivotFmt>
      <c:pivotFmt>
        <c:idx val="129"/>
        <c:spPr>
          <a:solidFill>
            <a:srgbClr val="FF0000"/>
          </a:solidFill>
          <a:ln>
            <a:noFill/>
          </a:ln>
          <a:effectLst/>
        </c:spPr>
      </c:pivotFmt>
      <c:pivotFmt>
        <c:idx val="130"/>
        <c:spPr>
          <a:solidFill>
            <a:srgbClr val="FF0000"/>
          </a:solidFill>
          <a:ln>
            <a:noFill/>
          </a:ln>
          <a:effectLst/>
        </c:spP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rgbClr val="FFD700"/>
          </a:solidFill>
          <a:ln>
            <a:noFill/>
          </a:ln>
          <a:effectLst/>
        </c:spPr>
      </c:pivotFmt>
      <c:pivotFmt>
        <c:idx val="133"/>
        <c:spPr>
          <a:solidFill>
            <a:srgbClr val="FFD700"/>
          </a:solidFill>
          <a:ln>
            <a:noFill/>
          </a:ln>
          <a:effectLst/>
        </c:spPr>
      </c:pivotFmt>
      <c:pivotFmt>
        <c:idx val="134"/>
        <c:spPr>
          <a:solidFill>
            <a:srgbClr val="FFD700"/>
          </a:solidFill>
          <a:ln>
            <a:noFill/>
          </a:ln>
          <a:effectLst/>
        </c:spPr>
      </c:pivotFmt>
      <c:pivotFmt>
        <c:idx val="135"/>
        <c:spPr>
          <a:solidFill>
            <a:srgbClr val="00B050"/>
          </a:solidFill>
          <a:ln>
            <a:noFill/>
          </a:ln>
          <a:effectLst/>
        </c:spPr>
      </c:pivotFmt>
      <c:pivotFmt>
        <c:idx val="136"/>
        <c:spPr>
          <a:solidFill>
            <a:srgbClr val="00B050"/>
          </a:solidFill>
          <a:ln>
            <a:noFill/>
          </a:ln>
          <a:effectLst/>
        </c:spPr>
      </c:pivotFmt>
      <c:pivotFmt>
        <c:idx val="137"/>
        <c:spPr>
          <a:solidFill>
            <a:srgbClr val="00B050"/>
          </a:solidFill>
          <a:ln>
            <a:noFill/>
          </a:ln>
          <a:effectLst/>
        </c:spPr>
      </c:pivotFmt>
      <c:pivotFmt>
        <c:idx val="138"/>
        <c:spPr>
          <a:solidFill>
            <a:srgbClr val="00B050"/>
          </a:solidFill>
          <a:ln>
            <a:noFill/>
          </a:ln>
          <a:effectLst/>
        </c:spPr>
      </c:pivotFmt>
      <c:pivotFmt>
        <c:idx val="139"/>
        <c:spPr>
          <a:solidFill>
            <a:srgbClr val="00B050"/>
          </a:solidFill>
          <a:ln>
            <a:noFill/>
          </a:ln>
          <a:effectLst/>
        </c:spPr>
      </c:pivotFmt>
      <c:pivotFmt>
        <c:idx val="140"/>
        <c:spPr>
          <a:solidFill>
            <a:srgbClr val="FF0000"/>
          </a:solidFill>
          <a:ln>
            <a:noFill/>
          </a:ln>
          <a:effectLst/>
        </c:spPr>
      </c:pivotFmt>
      <c:pivotFmt>
        <c:idx val="141"/>
        <c:spPr>
          <a:solidFill>
            <a:srgbClr val="FF0000"/>
          </a:solidFill>
          <a:ln>
            <a:noFill/>
          </a:ln>
          <a:effectLst/>
        </c:spPr>
      </c:pivotFmt>
      <c:pivotFmt>
        <c:idx val="142"/>
        <c:spPr>
          <a:solidFill>
            <a:srgbClr val="FF0000"/>
          </a:solidFill>
          <a:ln>
            <a:noFill/>
          </a:ln>
          <a:effectLst/>
        </c:spPr>
      </c:pivotFmt>
      <c:pivotFmt>
        <c:idx val="143"/>
        <c:spPr>
          <a:solidFill>
            <a:srgbClr val="FF0000"/>
          </a:solidFill>
          <a:ln>
            <a:noFill/>
          </a:ln>
          <a:effectLst/>
        </c:spPr>
      </c:pivotFmt>
      <c:pivotFmt>
        <c:idx val="144"/>
        <c:spPr>
          <a:solidFill>
            <a:srgbClr val="FF0000"/>
          </a:solidFill>
          <a:ln>
            <a:noFill/>
          </a:ln>
          <a:effectLst/>
        </c:spPr>
      </c:pivotFmt>
      <c:pivotFmt>
        <c:idx val="145"/>
        <c:spPr>
          <a:solidFill>
            <a:srgbClr val="FF0000"/>
          </a:solidFill>
          <a:ln>
            <a:noFill/>
          </a:ln>
          <a:effectLst/>
        </c:spPr>
      </c:pivotFmt>
      <c:pivotFmt>
        <c:idx val="146"/>
        <c:spPr>
          <a:solidFill>
            <a:srgbClr val="FF0000"/>
          </a:solidFill>
          <a:ln>
            <a:noFill/>
          </a:ln>
          <a:effectLst/>
        </c:spPr>
      </c:pivotFmt>
      <c:pivotFmt>
        <c:idx val="147"/>
        <c:spPr>
          <a:solidFill>
            <a:srgbClr val="FF0000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rgbClr val="FFD700"/>
          </a:solidFill>
          <a:ln>
            <a:noFill/>
          </a:ln>
          <a:effectLst/>
        </c:spPr>
      </c:pivotFmt>
      <c:pivotFmt>
        <c:idx val="150"/>
        <c:spPr>
          <a:solidFill>
            <a:srgbClr val="FFD700"/>
          </a:solidFill>
          <a:ln>
            <a:noFill/>
          </a:ln>
          <a:effectLst/>
        </c:spPr>
      </c:pivotFmt>
      <c:pivotFmt>
        <c:idx val="151"/>
        <c:spPr>
          <a:solidFill>
            <a:srgbClr val="FFD700"/>
          </a:solidFill>
          <a:ln>
            <a:noFill/>
          </a:ln>
          <a:effectLst/>
        </c:spPr>
      </c:pivotFmt>
      <c:pivotFmt>
        <c:idx val="152"/>
        <c:spPr>
          <a:solidFill>
            <a:srgbClr val="00B050"/>
          </a:solidFill>
          <a:ln>
            <a:noFill/>
          </a:ln>
          <a:effectLst/>
        </c:spPr>
      </c:pivotFmt>
      <c:pivotFmt>
        <c:idx val="153"/>
        <c:spPr>
          <a:solidFill>
            <a:srgbClr val="00B050"/>
          </a:solidFill>
          <a:ln>
            <a:noFill/>
          </a:ln>
          <a:effectLst/>
        </c:spPr>
      </c:pivotFmt>
      <c:pivotFmt>
        <c:idx val="154"/>
        <c:spPr>
          <a:solidFill>
            <a:srgbClr val="00B050"/>
          </a:solidFill>
          <a:ln>
            <a:noFill/>
          </a:ln>
          <a:effectLst/>
        </c:spPr>
      </c:pivotFmt>
      <c:pivotFmt>
        <c:idx val="155"/>
        <c:spPr>
          <a:solidFill>
            <a:srgbClr val="00B050"/>
          </a:solidFill>
          <a:ln>
            <a:noFill/>
          </a:ln>
          <a:effectLst/>
        </c:spPr>
      </c:pivotFmt>
      <c:pivotFmt>
        <c:idx val="156"/>
        <c:spPr>
          <a:solidFill>
            <a:srgbClr val="00B050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rgbClr val="FFD700"/>
          </a:solidFill>
          <a:ln>
            <a:noFill/>
          </a:ln>
          <a:effectLst/>
        </c:spPr>
      </c:pivotFmt>
      <c:pivotFmt>
        <c:idx val="159"/>
        <c:spPr>
          <a:solidFill>
            <a:srgbClr val="FFD700"/>
          </a:solidFill>
          <a:ln>
            <a:noFill/>
          </a:ln>
          <a:effectLst/>
        </c:spPr>
      </c:pivotFmt>
      <c:pivotFmt>
        <c:idx val="160"/>
        <c:spPr>
          <a:solidFill>
            <a:srgbClr val="FFD700"/>
          </a:solidFill>
          <a:ln>
            <a:noFill/>
          </a:ln>
          <a:effectLst/>
        </c:spPr>
      </c:pivotFmt>
      <c:pivotFmt>
        <c:idx val="161"/>
        <c:spPr>
          <a:solidFill>
            <a:srgbClr val="00B050"/>
          </a:solidFill>
          <a:ln>
            <a:noFill/>
          </a:ln>
          <a:effectLst/>
        </c:spPr>
      </c:pivotFmt>
      <c:pivotFmt>
        <c:idx val="162"/>
        <c:spPr>
          <a:solidFill>
            <a:srgbClr val="00B050"/>
          </a:solidFill>
          <a:ln>
            <a:noFill/>
          </a:ln>
          <a:effectLst/>
        </c:spPr>
      </c:pivotFmt>
      <c:pivotFmt>
        <c:idx val="163"/>
        <c:spPr>
          <a:solidFill>
            <a:srgbClr val="00B050"/>
          </a:solidFill>
          <a:ln>
            <a:noFill/>
          </a:ln>
          <a:effectLst/>
        </c:spPr>
      </c:pivotFmt>
      <c:pivotFmt>
        <c:idx val="164"/>
        <c:spPr>
          <a:solidFill>
            <a:srgbClr val="00B050"/>
          </a:solidFill>
          <a:ln>
            <a:noFill/>
          </a:ln>
          <a:effectLst/>
        </c:spPr>
      </c:pivotFmt>
      <c:pivotFmt>
        <c:idx val="165"/>
        <c:spPr>
          <a:solidFill>
            <a:srgbClr val="00B050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rgbClr val="FFD700"/>
          </a:solidFill>
          <a:ln>
            <a:noFill/>
          </a:ln>
          <a:effectLst/>
        </c:spPr>
      </c:pivotFmt>
      <c:pivotFmt>
        <c:idx val="168"/>
        <c:spPr>
          <a:solidFill>
            <a:srgbClr val="FFD700"/>
          </a:solidFill>
          <a:ln>
            <a:noFill/>
          </a:ln>
          <a:effectLst/>
        </c:spPr>
      </c:pivotFmt>
      <c:pivotFmt>
        <c:idx val="169"/>
        <c:spPr>
          <a:solidFill>
            <a:srgbClr val="FFD700"/>
          </a:solidFill>
          <a:ln>
            <a:noFill/>
          </a:ln>
          <a:effectLst/>
        </c:spPr>
      </c:pivotFmt>
      <c:pivotFmt>
        <c:idx val="170"/>
        <c:spPr>
          <a:solidFill>
            <a:srgbClr val="00B050"/>
          </a:solidFill>
          <a:ln>
            <a:noFill/>
          </a:ln>
          <a:effectLst/>
        </c:spPr>
      </c:pivotFmt>
      <c:pivotFmt>
        <c:idx val="171"/>
        <c:spPr>
          <a:solidFill>
            <a:srgbClr val="00B050"/>
          </a:solidFill>
          <a:ln>
            <a:noFill/>
          </a:ln>
          <a:effectLst/>
        </c:spPr>
      </c:pivotFmt>
      <c:pivotFmt>
        <c:idx val="172"/>
        <c:spPr>
          <a:solidFill>
            <a:srgbClr val="00B050"/>
          </a:solidFill>
          <a:ln>
            <a:noFill/>
          </a:ln>
          <a:effectLst/>
        </c:spPr>
      </c:pivotFmt>
      <c:pivotFmt>
        <c:idx val="173"/>
        <c:spPr>
          <a:solidFill>
            <a:srgbClr val="00B050"/>
          </a:solidFill>
          <a:ln>
            <a:noFill/>
          </a:ln>
          <a:effectLst/>
        </c:spPr>
      </c:pivotFmt>
      <c:pivotFmt>
        <c:idx val="174"/>
        <c:spPr>
          <a:solidFill>
            <a:srgbClr val="00B050"/>
          </a:solidFill>
          <a:ln>
            <a:noFill/>
          </a:ln>
          <a:effectLst/>
        </c:spPr>
      </c:pivotFmt>
      <c:pivotFmt>
        <c:idx val="175"/>
        <c:spPr>
          <a:solidFill>
            <a:srgbClr val="FF0000"/>
          </a:solidFill>
          <a:ln>
            <a:noFill/>
          </a:ln>
          <a:effectLst/>
        </c:spPr>
      </c:pivotFmt>
      <c:pivotFmt>
        <c:idx val="176"/>
        <c:spPr>
          <a:solidFill>
            <a:srgbClr val="FF0000"/>
          </a:solidFill>
          <a:ln>
            <a:noFill/>
          </a:ln>
          <a:effectLst/>
        </c:spPr>
      </c:pivotFmt>
      <c:pivotFmt>
        <c:idx val="177"/>
        <c:spPr>
          <a:solidFill>
            <a:srgbClr val="FF0000"/>
          </a:solidFill>
          <a:ln>
            <a:noFill/>
          </a:ln>
          <a:effectLst/>
        </c:spPr>
      </c:pivotFmt>
      <c:pivotFmt>
        <c:idx val="178"/>
        <c:spPr>
          <a:solidFill>
            <a:srgbClr val="FF0000"/>
          </a:solidFill>
          <a:ln>
            <a:noFill/>
          </a:ln>
          <a:effectLst/>
        </c:spPr>
      </c:pivotFmt>
      <c:pivotFmt>
        <c:idx val="179"/>
        <c:spPr>
          <a:solidFill>
            <a:srgbClr val="FF0000"/>
          </a:solidFill>
          <a:ln>
            <a:noFill/>
          </a:ln>
          <a:effectLst/>
        </c:spPr>
      </c:pivotFmt>
      <c:pivotFmt>
        <c:idx val="180"/>
        <c:spPr>
          <a:solidFill>
            <a:srgbClr val="FF0000"/>
          </a:solidFill>
          <a:ln>
            <a:noFill/>
          </a:ln>
          <a:effectLst/>
        </c:spPr>
      </c:pivotFmt>
      <c:pivotFmt>
        <c:idx val="181"/>
        <c:spPr>
          <a:solidFill>
            <a:srgbClr val="FF0000"/>
          </a:solidFill>
          <a:ln>
            <a:noFill/>
          </a:ln>
          <a:effectLst/>
        </c:spPr>
      </c:pivotFmt>
      <c:pivotFmt>
        <c:idx val="182"/>
        <c:spPr>
          <a:solidFill>
            <a:srgbClr val="FF0000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rgbClr val="FFD700"/>
          </a:solidFill>
          <a:ln>
            <a:noFill/>
          </a:ln>
          <a:effectLst/>
        </c:spPr>
      </c:pivotFmt>
      <c:pivotFmt>
        <c:idx val="185"/>
        <c:spPr>
          <a:solidFill>
            <a:srgbClr val="FFD700"/>
          </a:solidFill>
          <a:ln>
            <a:noFill/>
          </a:ln>
          <a:effectLst/>
        </c:spPr>
      </c:pivotFmt>
      <c:pivotFmt>
        <c:idx val="186"/>
        <c:spPr>
          <a:solidFill>
            <a:srgbClr val="FFD700"/>
          </a:solidFill>
          <a:ln>
            <a:noFill/>
          </a:ln>
          <a:effectLst/>
        </c:spPr>
      </c:pivotFmt>
      <c:pivotFmt>
        <c:idx val="187"/>
        <c:spPr>
          <a:solidFill>
            <a:srgbClr val="00B050"/>
          </a:solidFill>
          <a:ln>
            <a:noFill/>
          </a:ln>
          <a:effectLst/>
        </c:spPr>
      </c:pivotFmt>
      <c:pivotFmt>
        <c:idx val="188"/>
        <c:spPr>
          <a:solidFill>
            <a:srgbClr val="00B050"/>
          </a:solidFill>
          <a:ln>
            <a:noFill/>
          </a:ln>
          <a:effectLst/>
        </c:spPr>
      </c:pivotFmt>
      <c:pivotFmt>
        <c:idx val="189"/>
        <c:spPr>
          <a:solidFill>
            <a:srgbClr val="00B050"/>
          </a:solidFill>
          <a:ln>
            <a:noFill/>
          </a:ln>
          <a:effectLst/>
        </c:spPr>
      </c:pivotFmt>
      <c:pivotFmt>
        <c:idx val="190"/>
        <c:spPr>
          <a:solidFill>
            <a:srgbClr val="00B050"/>
          </a:solidFill>
          <a:ln>
            <a:noFill/>
          </a:ln>
          <a:effectLst/>
        </c:spPr>
      </c:pivotFmt>
      <c:pivotFmt>
        <c:idx val="191"/>
        <c:spPr>
          <a:solidFill>
            <a:srgbClr val="00B050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rgbClr val="FFD700"/>
          </a:solidFill>
          <a:ln>
            <a:noFill/>
          </a:ln>
          <a:effectLst/>
        </c:spPr>
      </c:pivotFmt>
      <c:pivotFmt>
        <c:idx val="194"/>
        <c:spPr>
          <a:solidFill>
            <a:srgbClr val="FFD700"/>
          </a:solidFill>
          <a:ln>
            <a:noFill/>
          </a:ln>
          <a:effectLst/>
        </c:spPr>
      </c:pivotFmt>
      <c:pivotFmt>
        <c:idx val="195"/>
        <c:spPr>
          <a:solidFill>
            <a:srgbClr val="FFD700"/>
          </a:solidFill>
          <a:ln>
            <a:noFill/>
          </a:ln>
          <a:effectLst/>
        </c:spPr>
      </c:pivotFmt>
      <c:pivotFmt>
        <c:idx val="196"/>
        <c:spPr>
          <a:solidFill>
            <a:srgbClr val="00B050"/>
          </a:solidFill>
          <a:ln>
            <a:noFill/>
          </a:ln>
          <a:effectLst/>
        </c:spPr>
      </c:pivotFmt>
      <c:pivotFmt>
        <c:idx val="197"/>
        <c:spPr>
          <a:solidFill>
            <a:srgbClr val="00B050"/>
          </a:solidFill>
          <a:ln>
            <a:noFill/>
          </a:ln>
          <a:effectLst/>
        </c:spPr>
      </c:pivotFmt>
      <c:pivotFmt>
        <c:idx val="198"/>
        <c:spPr>
          <a:solidFill>
            <a:srgbClr val="00B050"/>
          </a:solidFill>
          <a:ln>
            <a:noFill/>
          </a:ln>
          <a:effectLst/>
        </c:spPr>
      </c:pivotFmt>
      <c:pivotFmt>
        <c:idx val="199"/>
        <c:spPr>
          <a:solidFill>
            <a:srgbClr val="00B050"/>
          </a:solidFill>
          <a:ln>
            <a:noFill/>
          </a:ln>
          <a:effectLst/>
        </c:spPr>
      </c:pivotFmt>
      <c:pivotFmt>
        <c:idx val="200"/>
        <c:spPr>
          <a:solidFill>
            <a:srgbClr val="00B050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rgbClr val="FFD700"/>
          </a:solidFill>
          <a:ln>
            <a:noFill/>
          </a:ln>
          <a:effectLst/>
        </c:spPr>
      </c:pivotFmt>
      <c:pivotFmt>
        <c:idx val="203"/>
        <c:spPr>
          <a:solidFill>
            <a:srgbClr val="FFD700"/>
          </a:solidFill>
          <a:ln>
            <a:noFill/>
          </a:ln>
          <a:effectLst/>
        </c:spPr>
      </c:pivotFmt>
      <c:pivotFmt>
        <c:idx val="204"/>
        <c:spPr>
          <a:solidFill>
            <a:srgbClr val="FFD700"/>
          </a:solidFill>
          <a:ln>
            <a:noFill/>
          </a:ln>
          <a:effectLst/>
        </c:spPr>
      </c:pivotFmt>
      <c:pivotFmt>
        <c:idx val="205"/>
        <c:spPr>
          <a:solidFill>
            <a:srgbClr val="00B050"/>
          </a:solidFill>
          <a:ln>
            <a:noFill/>
          </a:ln>
          <a:effectLst/>
        </c:spPr>
      </c:pivotFmt>
      <c:pivotFmt>
        <c:idx val="206"/>
        <c:spPr>
          <a:solidFill>
            <a:srgbClr val="00B050"/>
          </a:solidFill>
          <a:ln>
            <a:noFill/>
          </a:ln>
          <a:effectLst/>
        </c:spPr>
      </c:pivotFmt>
      <c:pivotFmt>
        <c:idx val="207"/>
        <c:spPr>
          <a:solidFill>
            <a:srgbClr val="00B050"/>
          </a:solidFill>
          <a:ln>
            <a:noFill/>
          </a:ln>
          <a:effectLst/>
        </c:spPr>
      </c:pivotFmt>
      <c:pivotFmt>
        <c:idx val="208"/>
        <c:spPr>
          <a:solidFill>
            <a:srgbClr val="00B050"/>
          </a:solidFill>
          <a:ln>
            <a:noFill/>
          </a:ln>
          <a:effectLst/>
        </c:spPr>
      </c:pivotFmt>
      <c:pivotFmt>
        <c:idx val="209"/>
        <c:spPr>
          <a:solidFill>
            <a:srgbClr val="00B050"/>
          </a:solidFill>
          <a:ln>
            <a:noFill/>
          </a:ln>
          <a:effectLst/>
        </c:spPr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rgbClr val="FFD700"/>
          </a:solidFill>
          <a:ln>
            <a:noFill/>
          </a:ln>
          <a:effectLst/>
        </c:spPr>
      </c:pivotFmt>
      <c:pivotFmt>
        <c:idx val="212"/>
        <c:spPr>
          <a:solidFill>
            <a:srgbClr val="FFD700"/>
          </a:solidFill>
          <a:ln>
            <a:noFill/>
          </a:ln>
          <a:effectLst/>
        </c:spPr>
      </c:pivotFmt>
      <c:pivotFmt>
        <c:idx val="213"/>
        <c:spPr>
          <a:solidFill>
            <a:srgbClr val="FFD700"/>
          </a:solidFill>
          <a:ln>
            <a:noFill/>
          </a:ln>
          <a:effectLst/>
        </c:spPr>
      </c:pivotFmt>
      <c:pivotFmt>
        <c:idx val="214"/>
        <c:spPr>
          <a:solidFill>
            <a:srgbClr val="00B050"/>
          </a:solidFill>
          <a:ln>
            <a:noFill/>
          </a:ln>
          <a:effectLst/>
        </c:spPr>
      </c:pivotFmt>
      <c:pivotFmt>
        <c:idx val="215"/>
        <c:spPr>
          <a:solidFill>
            <a:srgbClr val="00B050"/>
          </a:solidFill>
          <a:ln>
            <a:noFill/>
          </a:ln>
          <a:effectLst/>
        </c:spPr>
      </c:pivotFmt>
      <c:pivotFmt>
        <c:idx val="216"/>
        <c:spPr>
          <a:solidFill>
            <a:srgbClr val="00B050"/>
          </a:solidFill>
          <a:ln>
            <a:noFill/>
          </a:ln>
          <a:effectLst/>
        </c:spPr>
      </c:pivotFmt>
      <c:pivotFmt>
        <c:idx val="217"/>
        <c:spPr>
          <a:solidFill>
            <a:srgbClr val="00B050"/>
          </a:solidFill>
          <a:ln>
            <a:noFill/>
          </a:ln>
          <a:effectLst/>
        </c:spPr>
      </c:pivotFmt>
      <c:pivotFmt>
        <c:idx val="218"/>
        <c:spPr>
          <a:solidFill>
            <a:srgbClr val="00B050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FFD700"/>
          </a:solidFill>
          <a:ln>
            <a:noFill/>
          </a:ln>
          <a:effectLst/>
        </c:spPr>
      </c:pivotFmt>
      <c:pivotFmt>
        <c:idx val="221"/>
        <c:spPr>
          <a:solidFill>
            <a:srgbClr val="FFD700"/>
          </a:solidFill>
          <a:ln>
            <a:noFill/>
          </a:ln>
          <a:effectLst/>
        </c:spPr>
      </c:pivotFmt>
      <c:pivotFmt>
        <c:idx val="222"/>
        <c:spPr>
          <a:solidFill>
            <a:srgbClr val="FFD700"/>
          </a:solidFill>
          <a:ln>
            <a:noFill/>
          </a:ln>
          <a:effectLst/>
        </c:spPr>
      </c:pivotFmt>
      <c:pivotFmt>
        <c:idx val="223"/>
        <c:spPr>
          <a:solidFill>
            <a:srgbClr val="00B050"/>
          </a:solidFill>
          <a:ln>
            <a:noFill/>
          </a:ln>
          <a:effectLst/>
        </c:spPr>
      </c:pivotFmt>
      <c:pivotFmt>
        <c:idx val="224"/>
        <c:spPr>
          <a:solidFill>
            <a:srgbClr val="00B050"/>
          </a:solidFill>
          <a:ln>
            <a:noFill/>
          </a:ln>
          <a:effectLst/>
        </c:spPr>
      </c:pivotFmt>
      <c:pivotFmt>
        <c:idx val="225"/>
        <c:spPr>
          <a:solidFill>
            <a:srgbClr val="00B050"/>
          </a:solidFill>
          <a:ln>
            <a:noFill/>
          </a:ln>
          <a:effectLst/>
        </c:spPr>
      </c:pivotFmt>
      <c:pivotFmt>
        <c:idx val="226"/>
        <c:spPr>
          <a:solidFill>
            <a:srgbClr val="00B050"/>
          </a:solidFill>
          <a:ln>
            <a:noFill/>
          </a:ln>
          <a:effectLst/>
        </c:spPr>
      </c:pivotFmt>
      <c:pivotFmt>
        <c:idx val="227"/>
        <c:spPr>
          <a:solidFill>
            <a:srgbClr val="00B050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FFD700"/>
          </a:solidFill>
          <a:ln>
            <a:noFill/>
          </a:ln>
          <a:effectLst/>
        </c:spPr>
      </c:pivotFmt>
      <c:pivotFmt>
        <c:idx val="230"/>
        <c:spPr>
          <a:solidFill>
            <a:srgbClr val="FFD700"/>
          </a:solidFill>
          <a:ln>
            <a:noFill/>
          </a:ln>
          <a:effectLst/>
        </c:spPr>
      </c:pivotFmt>
      <c:pivotFmt>
        <c:idx val="231"/>
        <c:spPr>
          <a:solidFill>
            <a:srgbClr val="FFD700"/>
          </a:solidFill>
          <a:ln>
            <a:noFill/>
          </a:ln>
          <a:effectLst/>
        </c:spPr>
      </c:pivotFmt>
      <c:pivotFmt>
        <c:idx val="232"/>
        <c:spPr>
          <a:solidFill>
            <a:srgbClr val="00B050"/>
          </a:solidFill>
          <a:ln>
            <a:noFill/>
          </a:ln>
          <a:effectLst/>
        </c:spPr>
      </c:pivotFmt>
      <c:pivotFmt>
        <c:idx val="233"/>
        <c:spPr>
          <a:solidFill>
            <a:srgbClr val="00B050"/>
          </a:solidFill>
          <a:ln>
            <a:noFill/>
          </a:ln>
          <a:effectLst/>
        </c:spPr>
      </c:pivotFmt>
      <c:pivotFmt>
        <c:idx val="234"/>
        <c:spPr>
          <a:solidFill>
            <a:srgbClr val="00B050"/>
          </a:solidFill>
          <a:ln>
            <a:noFill/>
          </a:ln>
          <a:effectLst/>
        </c:spPr>
      </c:pivotFmt>
      <c:pivotFmt>
        <c:idx val="235"/>
        <c:spPr>
          <a:solidFill>
            <a:srgbClr val="00B050"/>
          </a:solidFill>
          <a:ln>
            <a:noFill/>
          </a:ln>
          <a:effectLst/>
        </c:spPr>
      </c:pivotFmt>
      <c:pivotFmt>
        <c:idx val="236"/>
        <c:spPr>
          <a:solidFill>
            <a:srgbClr val="00B050"/>
          </a:solidFill>
          <a:ln>
            <a:noFill/>
          </a:ln>
          <a:effectLst/>
        </c:spPr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FFD700"/>
          </a:solidFill>
          <a:ln>
            <a:noFill/>
          </a:ln>
          <a:effectLst/>
        </c:spPr>
      </c:pivotFmt>
      <c:pivotFmt>
        <c:idx val="239"/>
        <c:spPr>
          <a:solidFill>
            <a:srgbClr val="FFD700"/>
          </a:solidFill>
          <a:ln>
            <a:noFill/>
          </a:ln>
          <a:effectLst/>
        </c:spPr>
      </c:pivotFmt>
      <c:pivotFmt>
        <c:idx val="240"/>
        <c:spPr>
          <a:solidFill>
            <a:srgbClr val="FFD700"/>
          </a:solidFill>
          <a:ln>
            <a:noFill/>
          </a:ln>
          <a:effectLst/>
        </c:spPr>
      </c:pivotFmt>
      <c:pivotFmt>
        <c:idx val="241"/>
        <c:spPr>
          <a:solidFill>
            <a:srgbClr val="00B050"/>
          </a:solidFill>
          <a:ln>
            <a:noFill/>
          </a:ln>
          <a:effectLst/>
        </c:spPr>
      </c:pivotFmt>
      <c:pivotFmt>
        <c:idx val="242"/>
        <c:spPr>
          <a:solidFill>
            <a:srgbClr val="00B050"/>
          </a:solidFill>
          <a:ln>
            <a:noFill/>
          </a:ln>
          <a:effectLst/>
        </c:spPr>
      </c:pivotFmt>
      <c:pivotFmt>
        <c:idx val="243"/>
        <c:spPr>
          <a:solidFill>
            <a:srgbClr val="00B050"/>
          </a:solidFill>
          <a:ln>
            <a:noFill/>
          </a:ln>
          <a:effectLst/>
        </c:spPr>
      </c:pivotFmt>
      <c:pivotFmt>
        <c:idx val="244"/>
        <c:spPr>
          <a:solidFill>
            <a:srgbClr val="00B050"/>
          </a:solidFill>
          <a:ln>
            <a:noFill/>
          </a:ln>
          <a:effectLst/>
        </c:spPr>
      </c:pivotFmt>
      <c:pivotFmt>
        <c:idx val="245"/>
        <c:spPr>
          <a:solidFill>
            <a:srgbClr val="00B050"/>
          </a:solidFill>
          <a:ln>
            <a:noFill/>
          </a:ln>
          <a:effectLst/>
        </c:spP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FFD700"/>
          </a:solidFill>
          <a:ln>
            <a:noFill/>
          </a:ln>
          <a:effectLst/>
        </c:spPr>
      </c:pivotFmt>
      <c:pivotFmt>
        <c:idx val="248"/>
        <c:spPr>
          <a:solidFill>
            <a:srgbClr val="FFD700"/>
          </a:solidFill>
          <a:ln>
            <a:noFill/>
          </a:ln>
          <a:effectLst/>
        </c:spPr>
      </c:pivotFmt>
      <c:pivotFmt>
        <c:idx val="249"/>
        <c:spPr>
          <a:solidFill>
            <a:srgbClr val="FFD700"/>
          </a:solidFill>
          <a:ln>
            <a:noFill/>
          </a:ln>
          <a:effectLst/>
        </c:spPr>
      </c:pivotFmt>
      <c:pivotFmt>
        <c:idx val="250"/>
        <c:spPr>
          <a:solidFill>
            <a:srgbClr val="00B050"/>
          </a:solidFill>
          <a:ln>
            <a:noFill/>
          </a:ln>
          <a:effectLst/>
        </c:spPr>
      </c:pivotFmt>
      <c:pivotFmt>
        <c:idx val="251"/>
        <c:spPr>
          <a:solidFill>
            <a:srgbClr val="00B050"/>
          </a:solidFill>
          <a:ln>
            <a:noFill/>
          </a:ln>
          <a:effectLst/>
        </c:spPr>
      </c:pivotFmt>
      <c:pivotFmt>
        <c:idx val="252"/>
        <c:spPr>
          <a:solidFill>
            <a:srgbClr val="00B050"/>
          </a:solidFill>
          <a:ln>
            <a:noFill/>
          </a:ln>
          <a:effectLst/>
        </c:spPr>
      </c:pivotFmt>
      <c:pivotFmt>
        <c:idx val="253"/>
        <c:spPr>
          <a:solidFill>
            <a:srgbClr val="00B050"/>
          </a:solidFill>
          <a:ln>
            <a:noFill/>
          </a:ln>
          <a:effectLst/>
        </c:spPr>
      </c:pivotFmt>
      <c:pivotFmt>
        <c:idx val="254"/>
        <c:spPr>
          <a:solidFill>
            <a:srgbClr val="00B050"/>
          </a:solidFill>
          <a:ln>
            <a:noFill/>
          </a:ln>
          <a:effectLst/>
        </c:spP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FFD700"/>
          </a:solidFill>
          <a:ln>
            <a:noFill/>
          </a:ln>
          <a:effectLst/>
        </c:spPr>
      </c:pivotFmt>
      <c:pivotFmt>
        <c:idx val="257"/>
        <c:spPr>
          <a:solidFill>
            <a:srgbClr val="FFD700"/>
          </a:solidFill>
          <a:ln>
            <a:noFill/>
          </a:ln>
          <a:effectLst/>
        </c:spPr>
      </c:pivotFmt>
      <c:pivotFmt>
        <c:idx val="258"/>
        <c:spPr>
          <a:solidFill>
            <a:srgbClr val="FFD700"/>
          </a:solidFill>
          <a:ln>
            <a:noFill/>
          </a:ln>
          <a:effectLst/>
        </c:spPr>
      </c:pivotFmt>
      <c:pivotFmt>
        <c:idx val="259"/>
        <c:spPr>
          <a:solidFill>
            <a:srgbClr val="00B050"/>
          </a:solidFill>
          <a:ln>
            <a:noFill/>
          </a:ln>
          <a:effectLst/>
        </c:spPr>
      </c:pivotFmt>
      <c:pivotFmt>
        <c:idx val="260"/>
        <c:spPr>
          <a:solidFill>
            <a:srgbClr val="00B050"/>
          </a:solidFill>
          <a:ln>
            <a:noFill/>
          </a:ln>
          <a:effectLst/>
        </c:spPr>
      </c:pivotFmt>
      <c:pivotFmt>
        <c:idx val="261"/>
        <c:spPr>
          <a:solidFill>
            <a:srgbClr val="00B050"/>
          </a:solidFill>
          <a:ln>
            <a:noFill/>
          </a:ln>
          <a:effectLst/>
        </c:spPr>
      </c:pivotFmt>
      <c:pivotFmt>
        <c:idx val="262"/>
        <c:spPr>
          <a:solidFill>
            <a:srgbClr val="00B050"/>
          </a:solidFill>
          <a:ln>
            <a:noFill/>
          </a:ln>
          <a:effectLst/>
        </c:spPr>
      </c:pivotFmt>
      <c:pivotFmt>
        <c:idx val="263"/>
        <c:spPr>
          <a:solidFill>
            <a:srgbClr val="00B050"/>
          </a:solidFill>
          <a:ln>
            <a:noFill/>
          </a:ln>
          <a:effectLst/>
        </c:spP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FFD700"/>
          </a:solidFill>
          <a:ln>
            <a:noFill/>
          </a:ln>
          <a:effectLst/>
        </c:spPr>
      </c:pivotFmt>
      <c:pivotFmt>
        <c:idx val="266"/>
        <c:spPr>
          <a:solidFill>
            <a:srgbClr val="FFD700"/>
          </a:solidFill>
          <a:ln>
            <a:noFill/>
          </a:ln>
          <a:effectLst/>
        </c:spPr>
      </c:pivotFmt>
      <c:pivotFmt>
        <c:idx val="267"/>
        <c:spPr>
          <a:solidFill>
            <a:srgbClr val="FFD700"/>
          </a:solidFill>
          <a:ln>
            <a:noFill/>
          </a:ln>
          <a:effectLst/>
        </c:spPr>
      </c:pivotFmt>
      <c:pivotFmt>
        <c:idx val="268"/>
        <c:spPr>
          <a:solidFill>
            <a:srgbClr val="00B050"/>
          </a:solidFill>
          <a:ln>
            <a:noFill/>
          </a:ln>
          <a:effectLst/>
        </c:spPr>
      </c:pivotFmt>
      <c:pivotFmt>
        <c:idx val="269"/>
        <c:spPr>
          <a:solidFill>
            <a:srgbClr val="00B050"/>
          </a:solidFill>
          <a:ln>
            <a:noFill/>
          </a:ln>
          <a:effectLst/>
        </c:spPr>
      </c:pivotFmt>
      <c:pivotFmt>
        <c:idx val="270"/>
        <c:spPr>
          <a:solidFill>
            <a:srgbClr val="00B050"/>
          </a:solidFill>
          <a:ln>
            <a:noFill/>
          </a:ln>
          <a:effectLst/>
        </c:spPr>
      </c:pivotFmt>
      <c:pivotFmt>
        <c:idx val="271"/>
        <c:spPr>
          <a:solidFill>
            <a:srgbClr val="00B050"/>
          </a:solidFill>
          <a:ln>
            <a:noFill/>
          </a:ln>
          <a:effectLst/>
        </c:spPr>
      </c:pivotFmt>
      <c:pivotFmt>
        <c:idx val="272"/>
        <c:spPr>
          <a:solidFill>
            <a:srgbClr val="00B050"/>
          </a:solidFill>
          <a:ln>
            <a:noFill/>
          </a:ln>
          <a:effectLst/>
        </c:spP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FD700"/>
          </a:solidFill>
          <a:ln>
            <a:noFill/>
          </a:ln>
          <a:effectLst/>
        </c:spPr>
      </c:pivotFmt>
      <c:pivotFmt>
        <c:idx val="275"/>
        <c:spPr>
          <a:solidFill>
            <a:srgbClr val="FFD700"/>
          </a:solidFill>
          <a:ln>
            <a:noFill/>
          </a:ln>
          <a:effectLst/>
        </c:spPr>
      </c:pivotFmt>
      <c:pivotFmt>
        <c:idx val="276"/>
        <c:spPr>
          <a:solidFill>
            <a:srgbClr val="FFD700"/>
          </a:solidFill>
          <a:ln>
            <a:noFill/>
          </a:ln>
          <a:effectLst/>
        </c:spPr>
      </c:pivotFmt>
      <c:pivotFmt>
        <c:idx val="277"/>
        <c:spPr>
          <a:solidFill>
            <a:srgbClr val="00B050"/>
          </a:solidFill>
          <a:ln>
            <a:noFill/>
          </a:ln>
          <a:effectLst/>
        </c:spPr>
      </c:pivotFmt>
      <c:pivotFmt>
        <c:idx val="278"/>
        <c:spPr>
          <a:solidFill>
            <a:srgbClr val="00B050"/>
          </a:solidFill>
          <a:ln>
            <a:noFill/>
          </a:ln>
          <a:effectLst/>
        </c:spPr>
      </c:pivotFmt>
      <c:pivotFmt>
        <c:idx val="279"/>
        <c:spPr>
          <a:solidFill>
            <a:srgbClr val="00B050"/>
          </a:solidFill>
          <a:ln>
            <a:noFill/>
          </a:ln>
          <a:effectLst/>
        </c:spPr>
      </c:pivotFmt>
      <c:pivotFmt>
        <c:idx val="280"/>
        <c:spPr>
          <a:solidFill>
            <a:srgbClr val="00B050"/>
          </a:solidFill>
          <a:ln>
            <a:noFill/>
          </a:ln>
          <a:effectLst/>
        </c:spPr>
      </c:pivotFmt>
      <c:pivotFmt>
        <c:idx val="281"/>
        <c:spPr>
          <a:solidFill>
            <a:srgbClr val="00B050"/>
          </a:solidFill>
          <a:ln>
            <a:noFill/>
          </a:ln>
          <a:effectLst/>
        </c:spP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FFD700"/>
          </a:solidFill>
          <a:ln>
            <a:noFill/>
          </a:ln>
          <a:effectLst/>
        </c:spPr>
      </c:pivotFmt>
      <c:pivotFmt>
        <c:idx val="284"/>
        <c:spPr>
          <a:solidFill>
            <a:srgbClr val="FFD700"/>
          </a:solidFill>
          <a:ln>
            <a:noFill/>
          </a:ln>
          <a:effectLst/>
        </c:spPr>
      </c:pivotFmt>
      <c:pivotFmt>
        <c:idx val="285"/>
        <c:spPr>
          <a:solidFill>
            <a:srgbClr val="FFD700"/>
          </a:solidFill>
          <a:ln>
            <a:noFill/>
          </a:ln>
          <a:effectLst/>
        </c:spPr>
      </c:pivotFmt>
      <c:pivotFmt>
        <c:idx val="286"/>
        <c:spPr>
          <a:solidFill>
            <a:srgbClr val="00B050"/>
          </a:solidFill>
          <a:ln>
            <a:noFill/>
          </a:ln>
          <a:effectLst/>
        </c:spPr>
      </c:pivotFmt>
      <c:pivotFmt>
        <c:idx val="287"/>
        <c:spPr>
          <a:solidFill>
            <a:srgbClr val="00B050"/>
          </a:solidFill>
          <a:ln>
            <a:noFill/>
          </a:ln>
          <a:effectLst/>
        </c:spPr>
      </c:pivotFmt>
      <c:pivotFmt>
        <c:idx val="288"/>
        <c:spPr>
          <a:solidFill>
            <a:srgbClr val="00B050"/>
          </a:solidFill>
          <a:ln>
            <a:noFill/>
          </a:ln>
          <a:effectLst/>
        </c:spPr>
      </c:pivotFmt>
      <c:pivotFmt>
        <c:idx val="289"/>
        <c:spPr>
          <a:solidFill>
            <a:srgbClr val="00B050"/>
          </a:solidFill>
          <a:ln>
            <a:noFill/>
          </a:ln>
          <a:effectLst/>
        </c:spPr>
      </c:pivotFmt>
      <c:pivotFmt>
        <c:idx val="290"/>
        <c:spPr>
          <a:solidFill>
            <a:srgbClr val="00B050"/>
          </a:solidFill>
          <a:ln>
            <a:noFill/>
          </a:ln>
          <a:effectLst/>
        </c:spPr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D700"/>
          </a:solidFill>
          <a:ln>
            <a:noFill/>
          </a:ln>
          <a:effectLst/>
        </c:spPr>
      </c:pivotFmt>
      <c:pivotFmt>
        <c:idx val="293"/>
        <c:spPr>
          <a:solidFill>
            <a:srgbClr val="FFD700"/>
          </a:solidFill>
          <a:ln>
            <a:noFill/>
          </a:ln>
          <a:effectLst/>
        </c:spPr>
      </c:pivotFmt>
      <c:pivotFmt>
        <c:idx val="294"/>
        <c:spPr>
          <a:solidFill>
            <a:srgbClr val="FFD700"/>
          </a:solidFill>
          <a:ln>
            <a:noFill/>
          </a:ln>
          <a:effectLst/>
        </c:spPr>
      </c:pivotFmt>
      <c:pivotFmt>
        <c:idx val="295"/>
        <c:spPr>
          <a:solidFill>
            <a:srgbClr val="00B050"/>
          </a:solidFill>
          <a:ln>
            <a:noFill/>
          </a:ln>
          <a:effectLst/>
        </c:spPr>
      </c:pivotFmt>
      <c:pivotFmt>
        <c:idx val="296"/>
        <c:spPr>
          <a:solidFill>
            <a:srgbClr val="00B050"/>
          </a:solidFill>
          <a:ln>
            <a:noFill/>
          </a:ln>
          <a:effectLst/>
        </c:spPr>
      </c:pivotFmt>
      <c:pivotFmt>
        <c:idx val="297"/>
        <c:spPr>
          <a:solidFill>
            <a:srgbClr val="00B050"/>
          </a:solidFill>
          <a:ln>
            <a:noFill/>
          </a:ln>
          <a:effectLst/>
        </c:spPr>
      </c:pivotFmt>
      <c:pivotFmt>
        <c:idx val="298"/>
        <c:spPr>
          <a:solidFill>
            <a:srgbClr val="00B050"/>
          </a:solidFill>
          <a:ln>
            <a:noFill/>
          </a:ln>
          <a:effectLst/>
        </c:spPr>
      </c:pivotFmt>
      <c:pivotFmt>
        <c:idx val="299"/>
        <c:spPr>
          <a:solidFill>
            <a:srgbClr val="00B050"/>
          </a:solidFill>
          <a:ln>
            <a:noFill/>
          </a:ln>
          <a:effectLst/>
        </c:spPr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rgbClr val="FFD700"/>
          </a:solidFill>
          <a:ln>
            <a:noFill/>
          </a:ln>
          <a:effectLst/>
        </c:spPr>
      </c:pivotFmt>
      <c:pivotFmt>
        <c:idx val="302"/>
        <c:spPr>
          <a:solidFill>
            <a:srgbClr val="FFD700"/>
          </a:solidFill>
          <a:ln>
            <a:noFill/>
          </a:ln>
          <a:effectLst/>
        </c:spPr>
      </c:pivotFmt>
      <c:pivotFmt>
        <c:idx val="303"/>
        <c:spPr>
          <a:solidFill>
            <a:srgbClr val="FFD700"/>
          </a:solidFill>
          <a:ln>
            <a:noFill/>
          </a:ln>
          <a:effectLst/>
        </c:spPr>
      </c:pivotFmt>
      <c:pivotFmt>
        <c:idx val="304"/>
        <c:spPr>
          <a:solidFill>
            <a:srgbClr val="00B050"/>
          </a:solidFill>
          <a:ln>
            <a:noFill/>
          </a:ln>
          <a:effectLst/>
        </c:spPr>
      </c:pivotFmt>
      <c:pivotFmt>
        <c:idx val="305"/>
        <c:spPr>
          <a:solidFill>
            <a:srgbClr val="00B050"/>
          </a:solidFill>
          <a:ln>
            <a:noFill/>
          </a:ln>
          <a:effectLst/>
        </c:spPr>
      </c:pivotFmt>
      <c:pivotFmt>
        <c:idx val="306"/>
        <c:spPr>
          <a:solidFill>
            <a:srgbClr val="00B050"/>
          </a:solidFill>
          <a:ln>
            <a:noFill/>
          </a:ln>
          <a:effectLst/>
        </c:spPr>
      </c:pivotFmt>
      <c:pivotFmt>
        <c:idx val="307"/>
        <c:spPr>
          <a:solidFill>
            <a:srgbClr val="00B050"/>
          </a:solidFill>
          <a:ln>
            <a:noFill/>
          </a:ln>
          <a:effectLst/>
        </c:spPr>
      </c:pivotFmt>
      <c:pivotFmt>
        <c:idx val="308"/>
        <c:spPr>
          <a:solidFill>
            <a:srgbClr val="00B050"/>
          </a:solidFill>
          <a:ln>
            <a:noFill/>
          </a:ln>
          <a:effectLst/>
        </c:spPr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rgbClr val="FFD700"/>
          </a:solidFill>
          <a:ln>
            <a:noFill/>
          </a:ln>
          <a:effectLst/>
        </c:spPr>
      </c:pivotFmt>
      <c:pivotFmt>
        <c:idx val="311"/>
        <c:spPr>
          <a:solidFill>
            <a:srgbClr val="FFD700"/>
          </a:solidFill>
          <a:ln>
            <a:noFill/>
          </a:ln>
          <a:effectLst/>
        </c:spPr>
      </c:pivotFmt>
      <c:pivotFmt>
        <c:idx val="312"/>
        <c:spPr>
          <a:solidFill>
            <a:srgbClr val="FFD700"/>
          </a:solidFill>
          <a:ln>
            <a:noFill/>
          </a:ln>
          <a:effectLst/>
        </c:spPr>
      </c:pivotFmt>
      <c:pivotFmt>
        <c:idx val="313"/>
        <c:spPr>
          <a:solidFill>
            <a:srgbClr val="00B050"/>
          </a:solidFill>
          <a:ln>
            <a:noFill/>
          </a:ln>
          <a:effectLst/>
        </c:spPr>
      </c:pivotFmt>
      <c:pivotFmt>
        <c:idx val="314"/>
        <c:spPr>
          <a:solidFill>
            <a:srgbClr val="00B050"/>
          </a:solidFill>
          <a:ln>
            <a:noFill/>
          </a:ln>
          <a:effectLst/>
        </c:spPr>
      </c:pivotFmt>
      <c:pivotFmt>
        <c:idx val="315"/>
        <c:spPr>
          <a:solidFill>
            <a:srgbClr val="00B050"/>
          </a:solidFill>
          <a:ln>
            <a:noFill/>
          </a:ln>
          <a:effectLst/>
        </c:spPr>
      </c:pivotFmt>
      <c:pivotFmt>
        <c:idx val="316"/>
        <c:spPr>
          <a:solidFill>
            <a:srgbClr val="00B050"/>
          </a:solidFill>
          <a:ln>
            <a:noFill/>
          </a:ln>
          <a:effectLst/>
        </c:spPr>
      </c:pivotFmt>
      <c:pivotFmt>
        <c:idx val="317"/>
        <c:spPr>
          <a:solidFill>
            <a:srgbClr val="00B050"/>
          </a:solidFill>
          <a:ln>
            <a:noFill/>
          </a:ln>
          <a:effectLst/>
        </c:spPr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rgbClr val="FFD700"/>
          </a:solidFill>
          <a:ln>
            <a:noFill/>
          </a:ln>
          <a:effectLst/>
        </c:spPr>
      </c:pivotFmt>
      <c:pivotFmt>
        <c:idx val="320"/>
        <c:spPr>
          <a:solidFill>
            <a:srgbClr val="FFD700"/>
          </a:solidFill>
          <a:ln>
            <a:noFill/>
          </a:ln>
          <a:effectLst/>
        </c:spPr>
      </c:pivotFmt>
      <c:pivotFmt>
        <c:idx val="321"/>
        <c:spPr>
          <a:solidFill>
            <a:srgbClr val="FFD700"/>
          </a:solidFill>
          <a:ln>
            <a:noFill/>
          </a:ln>
          <a:effectLst/>
        </c:spPr>
      </c:pivotFmt>
      <c:pivotFmt>
        <c:idx val="322"/>
        <c:spPr>
          <a:solidFill>
            <a:srgbClr val="00B050"/>
          </a:solidFill>
          <a:ln>
            <a:noFill/>
          </a:ln>
          <a:effectLst/>
        </c:spPr>
      </c:pivotFmt>
      <c:pivotFmt>
        <c:idx val="323"/>
        <c:spPr>
          <a:solidFill>
            <a:srgbClr val="00B050"/>
          </a:solidFill>
          <a:ln>
            <a:noFill/>
          </a:ln>
          <a:effectLst/>
        </c:spPr>
      </c:pivotFmt>
      <c:pivotFmt>
        <c:idx val="324"/>
        <c:spPr>
          <a:solidFill>
            <a:srgbClr val="00B050"/>
          </a:solidFill>
          <a:ln>
            <a:noFill/>
          </a:ln>
          <a:effectLst/>
        </c:spPr>
      </c:pivotFmt>
      <c:pivotFmt>
        <c:idx val="325"/>
        <c:spPr>
          <a:solidFill>
            <a:srgbClr val="00B050"/>
          </a:solidFill>
          <a:ln>
            <a:noFill/>
          </a:ln>
          <a:effectLst/>
        </c:spPr>
      </c:pivotFmt>
      <c:pivotFmt>
        <c:idx val="326"/>
        <c:spPr>
          <a:solidFill>
            <a:srgbClr val="00B050"/>
          </a:solidFill>
          <a:ln>
            <a:noFill/>
          </a:ln>
          <a:effectLst/>
        </c:spPr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rgbClr val="FFD700"/>
          </a:solidFill>
          <a:ln>
            <a:noFill/>
          </a:ln>
          <a:effectLst/>
        </c:spPr>
      </c:pivotFmt>
      <c:pivotFmt>
        <c:idx val="329"/>
        <c:spPr>
          <a:solidFill>
            <a:srgbClr val="FFD700"/>
          </a:solidFill>
          <a:ln>
            <a:noFill/>
          </a:ln>
          <a:effectLst/>
        </c:spPr>
      </c:pivotFmt>
      <c:pivotFmt>
        <c:idx val="330"/>
        <c:spPr>
          <a:solidFill>
            <a:srgbClr val="FFD700"/>
          </a:solidFill>
          <a:ln>
            <a:noFill/>
          </a:ln>
          <a:effectLst/>
        </c:spPr>
      </c:pivotFmt>
      <c:pivotFmt>
        <c:idx val="331"/>
        <c:spPr>
          <a:solidFill>
            <a:srgbClr val="00B050"/>
          </a:solidFill>
          <a:ln>
            <a:noFill/>
          </a:ln>
          <a:effectLst/>
        </c:spPr>
      </c:pivotFmt>
      <c:pivotFmt>
        <c:idx val="332"/>
        <c:spPr>
          <a:solidFill>
            <a:srgbClr val="00B050"/>
          </a:solidFill>
          <a:ln>
            <a:noFill/>
          </a:ln>
          <a:effectLst/>
        </c:spPr>
      </c:pivotFmt>
      <c:pivotFmt>
        <c:idx val="333"/>
        <c:spPr>
          <a:solidFill>
            <a:srgbClr val="00B050"/>
          </a:solidFill>
          <a:ln>
            <a:noFill/>
          </a:ln>
          <a:effectLst/>
        </c:spPr>
      </c:pivotFmt>
      <c:pivotFmt>
        <c:idx val="334"/>
        <c:spPr>
          <a:solidFill>
            <a:srgbClr val="00B050"/>
          </a:solidFill>
          <a:ln>
            <a:noFill/>
          </a:ln>
          <a:effectLst/>
        </c:spPr>
      </c:pivotFmt>
      <c:pivotFmt>
        <c:idx val="335"/>
        <c:spPr>
          <a:solidFill>
            <a:srgbClr val="00B050"/>
          </a:solidFill>
          <a:ln>
            <a:noFill/>
          </a:ln>
          <a:effectLst/>
        </c:spPr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rgbClr val="FFD700"/>
          </a:solidFill>
          <a:ln>
            <a:noFill/>
          </a:ln>
          <a:effectLst/>
        </c:spPr>
      </c:pivotFmt>
      <c:pivotFmt>
        <c:idx val="338"/>
        <c:spPr>
          <a:solidFill>
            <a:srgbClr val="FFD700"/>
          </a:solidFill>
          <a:ln>
            <a:noFill/>
          </a:ln>
          <a:effectLst/>
        </c:spPr>
      </c:pivotFmt>
      <c:pivotFmt>
        <c:idx val="339"/>
        <c:spPr>
          <a:solidFill>
            <a:srgbClr val="FFD700"/>
          </a:solidFill>
          <a:ln>
            <a:noFill/>
          </a:ln>
          <a:effectLst/>
        </c:spPr>
      </c:pivotFmt>
      <c:pivotFmt>
        <c:idx val="340"/>
        <c:spPr>
          <a:solidFill>
            <a:srgbClr val="FFD700"/>
          </a:solidFill>
          <a:ln>
            <a:noFill/>
          </a:ln>
          <a:effectLst/>
        </c:spPr>
      </c:pivotFmt>
      <c:pivotFmt>
        <c:idx val="341"/>
        <c:spPr>
          <a:solidFill>
            <a:srgbClr val="FFD700"/>
          </a:solidFill>
          <a:ln>
            <a:noFill/>
          </a:ln>
          <a:effectLst/>
        </c:spPr>
      </c:pivotFmt>
      <c:pivotFmt>
        <c:idx val="342"/>
        <c:spPr>
          <a:solidFill>
            <a:srgbClr val="00B050"/>
          </a:solidFill>
          <a:ln>
            <a:noFill/>
          </a:ln>
          <a:effectLst/>
        </c:spPr>
      </c:pivotFmt>
      <c:pivotFmt>
        <c:idx val="343"/>
        <c:spPr>
          <a:solidFill>
            <a:srgbClr val="00B050"/>
          </a:solidFill>
          <a:ln>
            <a:noFill/>
          </a:ln>
          <a:effectLst/>
        </c:spPr>
      </c:pivotFmt>
      <c:pivotFmt>
        <c:idx val="344"/>
        <c:spPr>
          <a:solidFill>
            <a:srgbClr val="00B050"/>
          </a:solidFill>
          <a:ln>
            <a:noFill/>
          </a:ln>
          <a:effectLst/>
        </c:spPr>
      </c:pivotFmt>
      <c:pivotFmt>
        <c:idx val="345"/>
        <c:spPr>
          <a:solidFill>
            <a:srgbClr val="00B050"/>
          </a:solidFill>
          <a:ln>
            <a:noFill/>
          </a:ln>
          <a:effectLst/>
        </c:spPr>
      </c:pivotFmt>
      <c:pivotFmt>
        <c:idx val="346"/>
        <c:spPr>
          <a:solidFill>
            <a:srgbClr val="00B050"/>
          </a:solidFill>
          <a:ln>
            <a:noFill/>
          </a:ln>
          <a:effectLst/>
        </c:spPr>
      </c:pivotFmt>
      <c:pivotFmt>
        <c:idx val="347"/>
        <c:spPr>
          <a:solidFill>
            <a:srgbClr val="00B050"/>
          </a:solidFill>
          <a:ln>
            <a:noFill/>
          </a:ln>
          <a:effectLst/>
        </c:spPr>
      </c:pivotFmt>
      <c:pivotFmt>
        <c:idx val="348"/>
        <c:spPr>
          <a:solidFill>
            <a:srgbClr val="00B050"/>
          </a:solidFill>
          <a:ln>
            <a:noFill/>
          </a:ln>
          <a:effectLst/>
        </c:spPr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rgbClr val="FFD700"/>
          </a:solidFill>
          <a:ln>
            <a:noFill/>
          </a:ln>
          <a:effectLst/>
        </c:spPr>
      </c:pivotFmt>
      <c:pivotFmt>
        <c:idx val="351"/>
        <c:spPr>
          <a:solidFill>
            <a:srgbClr val="FFD700"/>
          </a:solidFill>
          <a:ln>
            <a:noFill/>
          </a:ln>
          <a:effectLst/>
        </c:spPr>
      </c:pivotFmt>
      <c:pivotFmt>
        <c:idx val="352"/>
        <c:spPr>
          <a:solidFill>
            <a:srgbClr val="FFD700"/>
          </a:solidFill>
          <a:ln>
            <a:noFill/>
          </a:ln>
          <a:effectLst/>
        </c:spPr>
      </c:pivotFmt>
      <c:pivotFmt>
        <c:idx val="353"/>
        <c:spPr>
          <a:solidFill>
            <a:srgbClr val="FFD700"/>
          </a:solidFill>
          <a:ln>
            <a:noFill/>
          </a:ln>
          <a:effectLst/>
        </c:spPr>
      </c:pivotFmt>
      <c:pivotFmt>
        <c:idx val="354"/>
        <c:spPr>
          <a:solidFill>
            <a:srgbClr val="FFD700"/>
          </a:solidFill>
          <a:ln>
            <a:noFill/>
          </a:ln>
          <a:effectLst/>
        </c:spPr>
      </c:pivotFmt>
      <c:pivotFmt>
        <c:idx val="355"/>
        <c:spPr>
          <a:solidFill>
            <a:srgbClr val="00B050"/>
          </a:solidFill>
          <a:ln>
            <a:noFill/>
          </a:ln>
          <a:effectLst/>
        </c:spPr>
      </c:pivotFmt>
      <c:pivotFmt>
        <c:idx val="356"/>
        <c:spPr>
          <a:solidFill>
            <a:srgbClr val="00B050"/>
          </a:solidFill>
          <a:ln>
            <a:noFill/>
          </a:ln>
          <a:effectLst/>
        </c:spPr>
      </c:pivotFmt>
      <c:pivotFmt>
        <c:idx val="357"/>
        <c:spPr>
          <a:solidFill>
            <a:srgbClr val="00B050"/>
          </a:solidFill>
          <a:ln>
            <a:noFill/>
          </a:ln>
          <a:effectLst/>
        </c:spPr>
      </c:pivotFmt>
      <c:pivotFmt>
        <c:idx val="358"/>
        <c:spPr>
          <a:solidFill>
            <a:srgbClr val="00B050"/>
          </a:solidFill>
          <a:ln>
            <a:noFill/>
          </a:ln>
          <a:effectLst/>
        </c:spPr>
      </c:pivotFmt>
      <c:pivotFmt>
        <c:idx val="359"/>
        <c:spPr>
          <a:solidFill>
            <a:srgbClr val="00B050"/>
          </a:solidFill>
          <a:ln>
            <a:noFill/>
          </a:ln>
          <a:effectLst/>
        </c:spPr>
      </c:pivotFmt>
      <c:pivotFmt>
        <c:idx val="360"/>
        <c:spPr>
          <a:solidFill>
            <a:srgbClr val="00B050"/>
          </a:solidFill>
          <a:ln>
            <a:noFill/>
          </a:ln>
          <a:effectLst/>
        </c:spPr>
      </c:pivotFmt>
      <c:pivotFmt>
        <c:idx val="361"/>
        <c:spPr>
          <a:solidFill>
            <a:srgbClr val="00B050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rgbClr val="FFD700"/>
          </a:solidFill>
          <a:ln>
            <a:noFill/>
          </a:ln>
          <a:effectLst/>
        </c:spPr>
      </c:pivotFmt>
      <c:pivotFmt>
        <c:idx val="364"/>
        <c:spPr>
          <a:solidFill>
            <a:srgbClr val="FFD700"/>
          </a:solidFill>
          <a:ln>
            <a:noFill/>
          </a:ln>
          <a:effectLst/>
        </c:spPr>
      </c:pivotFmt>
      <c:pivotFmt>
        <c:idx val="365"/>
        <c:spPr>
          <a:solidFill>
            <a:srgbClr val="FFD700"/>
          </a:solidFill>
          <a:ln>
            <a:noFill/>
          </a:ln>
          <a:effectLst/>
        </c:spPr>
      </c:pivotFmt>
      <c:pivotFmt>
        <c:idx val="366"/>
        <c:spPr>
          <a:solidFill>
            <a:srgbClr val="FFD700"/>
          </a:solidFill>
          <a:ln>
            <a:noFill/>
          </a:ln>
          <a:effectLst/>
        </c:spPr>
      </c:pivotFmt>
      <c:pivotFmt>
        <c:idx val="367"/>
        <c:spPr>
          <a:solidFill>
            <a:srgbClr val="FFD700"/>
          </a:solidFill>
          <a:ln>
            <a:noFill/>
          </a:ln>
          <a:effectLst/>
        </c:spPr>
      </c:pivotFmt>
      <c:pivotFmt>
        <c:idx val="368"/>
        <c:spPr>
          <a:solidFill>
            <a:srgbClr val="00B050"/>
          </a:solidFill>
          <a:ln>
            <a:noFill/>
          </a:ln>
          <a:effectLst/>
        </c:spPr>
      </c:pivotFmt>
      <c:pivotFmt>
        <c:idx val="369"/>
        <c:spPr>
          <a:solidFill>
            <a:srgbClr val="00B050"/>
          </a:solidFill>
          <a:ln>
            <a:noFill/>
          </a:ln>
          <a:effectLst/>
        </c:spPr>
      </c:pivotFmt>
      <c:pivotFmt>
        <c:idx val="370"/>
        <c:spPr>
          <a:solidFill>
            <a:srgbClr val="00B050"/>
          </a:solidFill>
          <a:ln>
            <a:noFill/>
          </a:ln>
          <a:effectLst/>
        </c:spPr>
      </c:pivotFmt>
      <c:pivotFmt>
        <c:idx val="371"/>
        <c:spPr>
          <a:solidFill>
            <a:srgbClr val="00B050"/>
          </a:solidFill>
          <a:ln>
            <a:noFill/>
          </a:ln>
          <a:effectLst/>
        </c:spPr>
      </c:pivotFmt>
      <c:pivotFmt>
        <c:idx val="372"/>
        <c:spPr>
          <a:solidFill>
            <a:srgbClr val="00B050"/>
          </a:solidFill>
          <a:ln>
            <a:noFill/>
          </a:ln>
          <a:effectLst/>
        </c:spPr>
      </c:pivotFmt>
      <c:pivotFmt>
        <c:idx val="373"/>
        <c:spPr>
          <a:solidFill>
            <a:srgbClr val="00B050"/>
          </a:solidFill>
          <a:ln>
            <a:noFill/>
          </a:ln>
          <a:effectLst/>
        </c:spPr>
      </c:pivotFmt>
      <c:pivotFmt>
        <c:idx val="374"/>
        <c:spPr>
          <a:solidFill>
            <a:srgbClr val="00B050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rgbClr val="FFD700"/>
          </a:solidFill>
          <a:ln>
            <a:noFill/>
          </a:ln>
          <a:effectLst/>
        </c:spPr>
      </c:pivotFmt>
      <c:pivotFmt>
        <c:idx val="377"/>
        <c:spPr>
          <a:solidFill>
            <a:srgbClr val="FFD700"/>
          </a:solidFill>
          <a:ln>
            <a:noFill/>
          </a:ln>
          <a:effectLst/>
        </c:spPr>
      </c:pivotFmt>
      <c:pivotFmt>
        <c:idx val="378"/>
        <c:spPr>
          <a:solidFill>
            <a:srgbClr val="FFD700"/>
          </a:solidFill>
          <a:ln>
            <a:noFill/>
          </a:ln>
          <a:effectLst/>
        </c:spPr>
      </c:pivotFmt>
      <c:pivotFmt>
        <c:idx val="379"/>
        <c:spPr>
          <a:solidFill>
            <a:srgbClr val="FFD700"/>
          </a:solidFill>
          <a:ln>
            <a:noFill/>
          </a:ln>
          <a:effectLst/>
        </c:spPr>
      </c:pivotFmt>
      <c:pivotFmt>
        <c:idx val="380"/>
        <c:spPr>
          <a:solidFill>
            <a:srgbClr val="FFD700"/>
          </a:solidFill>
          <a:ln>
            <a:noFill/>
          </a:ln>
          <a:effectLst/>
        </c:spPr>
      </c:pivotFmt>
      <c:pivotFmt>
        <c:idx val="381"/>
        <c:spPr>
          <a:solidFill>
            <a:srgbClr val="00B050"/>
          </a:solidFill>
          <a:ln>
            <a:noFill/>
          </a:ln>
          <a:effectLst/>
        </c:spPr>
      </c:pivotFmt>
      <c:pivotFmt>
        <c:idx val="382"/>
        <c:spPr>
          <a:solidFill>
            <a:srgbClr val="00B050"/>
          </a:solidFill>
          <a:ln>
            <a:noFill/>
          </a:ln>
          <a:effectLst/>
        </c:spPr>
      </c:pivotFmt>
      <c:pivotFmt>
        <c:idx val="383"/>
        <c:spPr>
          <a:solidFill>
            <a:srgbClr val="00B050"/>
          </a:solidFill>
          <a:ln>
            <a:noFill/>
          </a:ln>
          <a:effectLst/>
        </c:spPr>
      </c:pivotFmt>
      <c:pivotFmt>
        <c:idx val="384"/>
        <c:spPr>
          <a:solidFill>
            <a:srgbClr val="00B050"/>
          </a:solidFill>
          <a:ln>
            <a:noFill/>
          </a:ln>
          <a:effectLst/>
        </c:spPr>
      </c:pivotFmt>
      <c:pivotFmt>
        <c:idx val="385"/>
        <c:spPr>
          <a:solidFill>
            <a:srgbClr val="00B050"/>
          </a:solidFill>
          <a:ln>
            <a:noFill/>
          </a:ln>
          <a:effectLst/>
        </c:spPr>
      </c:pivotFmt>
      <c:pivotFmt>
        <c:idx val="386"/>
        <c:spPr>
          <a:solidFill>
            <a:srgbClr val="00B050"/>
          </a:solidFill>
          <a:ln>
            <a:noFill/>
          </a:ln>
          <a:effectLst/>
        </c:spPr>
      </c:pivotFmt>
      <c:pivotFmt>
        <c:idx val="387"/>
        <c:spPr>
          <a:solidFill>
            <a:srgbClr val="00B050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rgbClr val="FFD700"/>
          </a:solidFill>
          <a:ln>
            <a:noFill/>
          </a:ln>
          <a:effectLst/>
        </c:spPr>
      </c:pivotFmt>
      <c:pivotFmt>
        <c:idx val="390"/>
        <c:spPr>
          <a:solidFill>
            <a:srgbClr val="FFD700"/>
          </a:solidFill>
          <a:ln>
            <a:noFill/>
          </a:ln>
          <a:effectLst/>
        </c:spPr>
      </c:pivotFmt>
      <c:pivotFmt>
        <c:idx val="391"/>
        <c:spPr>
          <a:solidFill>
            <a:srgbClr val="FFD700"/>
          </a:solidFill>
          <a:ln>
            <a:noFill/>
          </a:ln>
          <a:effectLst/>
        </c:spPr>
      </c:pivotFmt>
      <c:pivotFmt>
        <c:idx val="392"/>
        <c:spPr>
          <a:solidFill>
            <a:srgbClr val="FFD700"/>
          </a:solidFill>
          <a:ln>
            <a:noFill/>
          </a:ln>
          <a:effectLst/>
        </c:spPr>
      </c:pivotFmt>
      <c:pivotFmt>
        <c:idx val="393"/>
        <c:spPr>
          <a:solidFill>
            <a:srgbClr val="FFD700"/>
          </a:solidFill>
          <a:ln>
            <a:noFill/>
          </a:ln>
          <a:effectLst/>
        </c:spPr>
      </c:pivotFmt>
      <c:pivotFmt>
        <c:idx val="394"/>
        <c:spPr>
          <a:solidFill>
            <a:srgbClr val="00B050"/>
          </a:solidFill>
          <a:ln>
            <a:noFill/>
          </a:ln>
          <a:effectLst/>
        </c:spPr>
      </c:pivotFmt>
      <c:pivotFmt>
        <c:idx val="395"/>
        <c:spPr>
          <a:solidFill>
            <a:srgbClr val="00B050"/>
          </a:solidFill>
          <a:ln>
            <a:noFill/>
          </a:ln>
          <a:effectLst/>
        </c:spPr>
      </c:pivotFmt>
      <c:pivotFmt>
        <c:idx val="396"/>
        <c:spPr>
          <a:solidFill>
            <a:srgbClr val="00B050"/>
          </a:solidFill>
          <a:ln>
            <a:noFill/>
          </a:ln>
          <a:effectLst/>
        </c:spPr>
      </c:pivotFmt>
      <c:pivotFmt>
        <c:idx val="397"/>
        <c:spPr>
          <a:solidFill>
            <a:srgbClr val="00B050"/>
          </a:solidFill>
          <a:ln>
            <a:noFill/>
          </a:ln>
          <a:effectLst/>
        </c:spPr>
      </c:pivotFmt>
      <c:pivotFmt>
        <c:idx val="398"/>
        <c:spPr>
          <a:solidFill>
            <a:srgbClr val="00B050"/>
          </a:solidFill>
          <a:ln>
            <a:noFill/>
          </a:ln>
          <a:effectLst/>
        </c:spPr>
      </c:pivotFmt>
      <c:pivotFmt>
        <c:idx val="399"/>
        <c:spPr>
          <a:solidFill>
            <a:srgbClr val="00B050"/>
          </a:solidFill>
          <a:ln>
            <a:noFill/>
          </a:ln>
          <a:effectLst/>
        </c:spPr>
      </c:pivotFmt>
      <c:pivotFmt>
        <c:idx val="400"/>
        <c:spPr>
          <a:solidFill>
            <a:srgbClr val="00B050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rgbClr val="FFD700"/>
          </a:solidFill>
          <a:ln>
            <a:noFill/>
          </a:ln>
          <a:effectLst/>
        </c:spPr>
      </c:pivotFmt>
      <c:pivotFmt>
        <c:idx val="403"/>
        <c:spPr>
          <a:solidFill>
            <a:srgbClr val="FFD700"/>
          </a:solidFill>
          <a:ln>
            <a:noFill/>
          </a:ln>
          <a:effectLst/>
        </c:spPr>
      </c:pivotFmt>
      <c:pivotFmt>
        <c:idx val="404"/>
        <c:spPr>
          <a:solidFill>
            <a:srgbClr val="FFD700"/>
          </a:solidFill>
          <a:ln>
            <a:noFill/>
          </a:ln>
          <a:effectLst/>
        </c:spPr>
      </c:pivotFmt>
      <c:pivotFmt>
        <c:idx val="405"/>
        <c:spPr>
          <a:solidFill>
            <a:srgbClr val="FFD700"/>
          </a:solidFill>
          <a:ln>
            <a:noFill/>
          </a:ln>
          <a:effectLst/>
        </c:spPr>
      </c:pivotFmt>
      <c:pivotFmt>
        <c:idx val="406"/>
        <c:spPr>
          <a:solidFill>
            <a:srgbClr val="FFD700"/>
          </a:solidFill>
          <a:ln>
            <a:noFill/>
          </a:ln>
          <a:effectLst/>
        </c:spPr>
      </c:pivotFmt>
      <c:pivotFmt>
        <c:idx val="407"/>
        <c:spPr>
          <a:solidFill>
            <a:srgbClr val="00B050"/>
          </a:solidFill>
          <a:ln>
            <a:noFill/>
          </a:ln>
          <a:effectLst/>
        </c:spPr>
      </c:pivotFmt>
      <c:pivotFmt>
        <c:idx val="408"/>
        <c:spPr>
          <a:solidFill>
            <a:srgbClr val="00B050"/>
          </a:solidFill>
          <a:ln>
            <a:noFill/>
          </a:ln>
          <a:effectLst/>
        </c:spPr>
      </c:pivotFmt>
      <c:pivotFmt>
        <c:idx val="409"/>
        <c:spPr>
          <a:solidFill>
            <a:srgbClr val="00B050"/>
          </a:solidFill>
          <a:ln>
            <a:noFill/>
          </a:ln>
          <a:effectLst/>
        </c:spPr>
      </c:pivotFmt>
      <c:pivotFmt>
        <c:idx val="410"/>
        <c:spPr>
          <a:solidFill>
            <a:srgbClr val="00B050"/>
          </a:solidFill>
          <a:ln>
            <a:noFill/>
          </a:ln>
          <a:effectLst/>
        </c:spPr>
      </c:pivotFmt>
      <c:pivotFmt>
        <c:idx val="411"/>
        <c:spPr>
          <a:solidFill>
            <a:srgbClr val="00B050"/>
          </a:solidFill>
          <a:ln>
            <a:noFill/>
          </a:ln>
          <a:effectLst/>
        </c:spPr>
      </c:pivotFmt>
      <c:pivotFmt>
        <c:idx val="412"/>
        <c:spPr>
          <a:solidFill>
            <a:srgbClr val="00B050"/>
          </a:solidFill>
          <a:ln>
            <a:noFill/>
          </a:ln>
          <a:effectLst/>
        </c:spPr>
      </c:pivotFmt>
      <c:pivotFmt>
        <c:idx val="413"/>
        <c:spPr>
          <a:solidFill>
            <a:srgbClr val="00B050"/>
          </a:solidFill>
          <a:ln>
            <a:noFill/>
          </a:ln>
          <a:effectLst/>
        </c:spPr>
      </c:pivotFmt>
      <c:pivotFmt>
        <c:idx val="414"/>
        <c:spPr>
          <a:solidFill>
            <a:srgbClr val="00B050"/>
          </a:solidFill>
          <a:ln>
            <a:noFill/>
          </a:ln>
          <a:effectLst/>
        </c:spPr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FFD700"/>
          </a:solidFill>
          <a:ln>
            <a:noFill/>
          </a:ln>
          <a:effectLst/>
        </c:spPr>
      </c:pivotFmt>
      <c:pivotFmt>
        <c:idx val="417"/>
        <c:spPr>
          <a:solidFill>
            <a:srgbClr val="FFD700"/>
          </a:solidFill>
          <a:ln>
            <a:noFill/>
          </a:ln>
          <a:effectLst/>
        </c:spPr>
      </c:pivotFmt>
      <c:pivotFmt>
        <c:idx val="418"/>
        <c:spPr>
          <a:solidFill>
            <a:srgbClr val="FFD700"/>
          </a:solidFill>
          <a:ln>
            <a:noFill/>
          </a:ln>
          <a:effectLst/>
        </c:spPr>
      </c:pivotFmt>
      <c:pivotFmt>
        <c:idx val="419"/>
        <c:spPr>
          <a:solidFill>
            <a:srgbClr val="FFD700"/>
          </a:solidFill>
          <a:ln>
            <a:noFill/>
          </a:ln>
          <a:effectLst/>
        </c:spPr>
      </c:pivotFmt>
      <c:pivotFmt>
        <c:idx val="420"/>
        <c:spPr>
          <a:solidFill>
            <a:srgbClr val="FFD700"/>
          </a:solidFill>
          <a:ln>
            <a:noFill/>
          </a:ln>
          <a:effectLst/>
        </c:spPr>
      </c:pivotFmt>
      <c:pivotFmt>
        <c:idx val="421"/>
        <c:spPr>
          <a:solidFill>
            <a:srgbClr val="00B050"/>
          </a:solidFill>
          <a:ln>
            <a:noFill/>
          </a:ln>
          <a:effectLst/>
        </c:spPr>
      </c:pivotFmt>
      <c:pivotFmt>
        <c:idx val="422"/>
        <c:spPr>
          <a:solidFill>
            <a:srgbClr val="00B050"/>
          </a:solidFill>
          <a:ln>
            <a:noFill/>
          </a:ln>
          <a:effectLst/>
        </c:spPr>
      </c:pivotFmt>
      <c:pivotFmt>
        <c:idx val="423"/>
        <c:spPr>
          <a:solidFill>
            <a:srgbClr val="00B050"/>
          </a:solidFill>
          <a:ln>
            <a:noFill/>
          </a:ln>
          <a:effectLst/>
        </c:spPr>
      </c:pivotFmt>
      <c:pivotFmt>
        <c:idx val="424"/>
        <c:spPr>
          <a:solidFill>
            <a:srgbClr val="00B050"/>
          </a:solidFill>
          <a:ln>
            <a:noFill/>
          </a:ln>
          <a:effectLst/>
        </c:spPr>
      </c:pivotFmt>
      <c:pivotFmt>
        <c:idx val="425"/>
        <c:spPr>
          <a:solidFill>
            <a:srgbClr val="00B050"/>
          </a:solidFill>
          <a:ln>
            <a:noFill/>
          </a:ln>
          <a:effectLst/>
        </c:spPr>
      </c:pivotFmt>
      <c:pivotFmt>
        <c:idx val="426"/>
        <c:spPr>
          <a:solidFill>
            <a:srgbClr val="00B050"/>
          </a:solidFill>
          <a:ln>
            <a:noFill/>
          </a:ln>
          <a:effectLst/>
        </c:spPr>
      </c:pivotFmt>
      <c:pivotFmt>
        <c:idx val="427"/>
        <c:spPr>
          <a:solidFill>
            <a:srgbClr val="00B050"/>
          </a:solidFill>
          <a:ln>
            <a:noFill/>
          </a:ln>
          <a:effectLst/>
        </c:spPr>
      </c:pivotFmt>
      <c:pivotFmt>
        <c:idx val="428"/>
        <c:spPr>
          <a:solidFill>
            <a:srgbClr val="00B050"/>
          </a:solidFill>
          <a:ln>
            <a:noFill/>
          </a:ln>
          <a:effectLst/>
        </c:spPr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D700"/>
          </a:solidFill>
          <a:ln>
            <a:noFill/>
          </a:ln>
          <a:effectLst/>
        </c:spPr>
      </c:pivotFmt>
      <c:pivotFmt>
        <c:idx val="431"/>
        <c:spPr>
          <a:solidFill>
            <a:srgbClr val="FFD700"/>
          </a:solidFill>
          <a:ln>
            <a:noFill/>
          </a:ln>
          <a:effectLst/>
        </c:spPr>
      </c:pivotFmt>
      <c:pivotFmt>
        <c:idx val="432"/>
        <c:spPr>
          <a:solidFill>
            <a:srgbClr val="FFD700"/>
          </a:solidFill>
          <a:ln>
            <a:noFill/>
          </a:ln>
          <a:effectLst/>
        </c:spPr>
      </c:pivotFmt>
      <c:pivotFmt>
        <c:idx val="433"/>
        <c:spPr>
          <a:solidFill>
            <a:srgbClr val="FFD700"/>
          </a:solidFill>
          <a:ln>
            <a:noFill/>
          </a:ln>
          <a:effectLst/>
        </c:spPr>
      </c:pivotFmt>
      <c:pivotFmt>
        <c:idx val="434"/>
        <c:spPr>
          <a:solidFill>
            <a:srgbClr val="FFD700"/>
          </a:solidFill>
          <a:ln>
            <a:noFill/>
          </a:ln>
          <a:effectLst/>
        </c:spPr>
      </c:pivotFmt>
      <c:pivotFmt>
        <c:idx val="435"/>
        <c:spPr>
          <a:solidFill>
            <a:srgbClr val="00B050"/>
          </a:solidFill>
          <a:ln>
            <a:noFill/>
          </a:ln>
          <a:effectLst/>
        </c:spPr>
      </c:pivotFmt>
      <c:pivotFmt>
        <c:idx val="436"/>
        <c:spPr>
          <a:solidFill>
            <a:srgbClr val="00B050"/>
          </a:solidFill>
          <a:ln>
            <a:noFill/>
          </a:ln>
          <a:effectLst/>
        </c:spPr>
      </c:pivotFmt>
      <c:pivotFmt>
        <c:idx val="437"/>
        <c:spPr>
          <a:solidFill>
            <a:srgbClr val="00B050"/>
          </a:solidFill>
          <a:ln>
            <a:noFill/>
          </a:ln>
          <a:effectLst/>
        </c:spPr>
      </c:pivotFmt>
      <c:pivotFmt>
        <c:idx val="438"/>
        <c:spPr>
          <a:solidFill>
            <a:srgbClr val="00B050"/>
          </a:solidFill>
          <a:ln>
            <a:noFill/>
          </a:ln>
          <a:effectLst/>
        </c:spPr>
      </c:pivotFmt>
      <c:pivotFmt>
        <c:idx val="439"/>
        <c:spPr>
          <a:solidFill>
            <a:srgbClr val="00B050"/>
          </a:solidFill>
          <a:ln>
            <a:noFill/>
          </a:ln>
          <a:effectLst/>
        </c:spPr>
      </c:pivotFmt>
      <c:pivotFmt>
        <c:idx val="440"/>
        <c:spPr>
          <a:solidFill>
            <a:srgbClr val="00B050"/>
          </a:solidFill>
          <a:ln>
            <a:noFill/>
          </a:ln>
          <a:effectLst/>
        </c:spPr>
      </c:pivotFmt>
      <c:pivotFmt>
        <c:idx val="441"/>
        <c:spPr>
          <a:solidFill>
            <a:srgbClr val="00B050"/>
          </a:solidFill>
          <a:ln>
            <a:noFill/>
          </a:ln>
          <a:effectLst/>
        </c:spPr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FFD700"/>
          </a:solidFill>
          <a:ln>
            <a:noFill/>
          </a:ln>
          <a:effectLst/>
        </c:spPr>
      </c:pivotFmt>
      <c:pivotFmt>
        <c:idx val="444"/>
        <c:spPr>
          <a:solidFill>
            <a:srgbClr val="FFD700"/>
          </a:solidFill>
          <a:ln>
            <a:noFill/>
          </a:ln>
          <a:effectLst/>
        </c:spPr>
      </c:pivotFmt>
      <c:pivotFmt>
        <c:idx val="445"/>
        <c:spPr>
          <a:solidFill>
            <a:srgbClr val="FFD700"/>
          </a:solidFill>
          <a:ln>
            <a:noFill/>
          </a:ln>
          <a:effectLst/>
        </c:spPr>
      </c:pivotFmt>
      <c:pivotFmt>
        <c:idx val="446"/>
        <c:spPr>
          <a:solidFill>
            <a:srgbClr val="FFD700"/>
          </a:solidFill>
          <a:ln>
            <a:noFill/>
          </a:ln>
          <a:effectLst/>
        </c:spPr>
      </c:pivotFmt>
      <c:pivotFmt>
        <c:idx val="447"/>
        <c:spPr>
          <a:solidFill>
            <a:srgbClr val="FFD700"/>
          </a:solidFill>
          <a:ln>
            <a:noFill/>
          </a:ln>
          <a:effectLst/>
        </c:spPr>
      </c:pivotFmt>
      <c:pivotFmt>
        <c:idx val="448"/>
        <c:spPr>
          <a:solidFill>
            <a:srgbClr val="00B050"/>
          </a:solidFill>
          <a:ln>
            <a:noFill/>
          </a:ln>
          <a:effectLst/>
        </c:spPr>
      </c:pivotFmt>
      <c:pivotFmt>
        <c:idx val="449"/>
        <c:spPr>
          <a:solidFill>
            <a:srgbClr val="00B050"/>
          </a:solidFill>
          <a:ln>
            <a:noFill/>
          </a:ln>
          <a:effectLst/>
        </c:spPr>
      </c:pivotFmt>
      <c:pivotFmt>
        <c:idx val="450"/>
        <c:spPr>
          <a:solidFill>
            <a:srgbClr val="00B050"/>
          </a:solidFill>
          <a:ln>
            <a:noFill/>
          </a:ln>
          <a:effectLst/>
        </c:spPr>
      </c:pivotFmt>
      <c:pivotFmt>
        <c:idx val="451"/>
        <c:spPr>
          <a:solidFill>
            <a:srgbClr val="00B050"/>
          </a:solidFill>
          <a:ln>
            <a:noFill/>
          </a:ln>
          <a:effectLst/>
        </c:spPr>
      </c:pivotFmt>
      <c:pivotFmt>
        <c:idx val="452"/>
        <c:spPr>
          <a:solidFill>
            <a:srgbClr val="00B050"/>
          </a:solidFill>
          <a:ln>
            <a:noFill/>
          </a:ln>
          <a:effectLst/>
        </c:spPr>
      </c:pivotFmt>
      <c:pivotFmt>
        <c:idx val="453"/>
        <c:spPr>
          <a:solidFill>
            <a:srgbClr val="00B050"/>
          </a:solidFill>
          <a:ln>
            <a:noFill/>
          </a:ln>
          <a:effectLst/>
        </c:spPr>
      </c:pivotFmt>
      <c:pivotFmt>
        <c:idx val="454"/>
        <c:spPr>
          <a:solidFill>
            <a:srgbClr val="00B050"/>
          </a:solidFill>
          <a:ln>
            <a:noFill/>
          </a:ln>
          <a:effectLst/>
        </c:spPr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rgbClr val="FFD700"/>
          </a:solidFill>
          <a:ln>
            <a:noFill/>
          </a:ln>
          <a:effectLst/>
        </c:spPr>
      </c:pivotFmt>
      <c:pivotFmt>
        <c:idx val="457"/>
        <c:spPr>
          <a:solidFill>
            <a:srgbClr val="FFD700"/>
          </a:solidFill>
          <a:ln>
            <a:noFill/>
          </a:ln>
          <a:effectLst/>
        </c:spPr>
      </c:pivotFmt>
      <c:pivotFmt>
        <c:idx val="458"/>
        <c:spPr>
          <a:solidFill>
            <a:srgbClr val="FFD700"/>
          </a:solidFill>
          <a:ln>
            <a:noFill/>
          </a:ln>
          <a:effectLst/>
        </c:spPr>
      </c:pivotFmt>
      <c:pivotFmt>
        <c:idx val="459"/>
        <c:spPr>
          <a:solidFill>
            <a:srgbClr val="FFD700"/>
          </a:solidFill>
          <a:ln>
            <a:noFill/>
          </a:ln>
          <a:effectLst/>
        </c:spPr>
      </c:pivotFmt>
      <c:pivotFmt>
        <c:idx val="460"/>
        <c:spPr>
          <a:solidFill>
            <a:srgbClr val="FFD700"/>
          </a:solidFill>
          <a:ln>
            <a:noFill/>
          </a:ln>
          <a:effectLst/>
        </c:spPr>
      </c:pivotFmt>
      <c:pivotFmt>
        <c:idx val="461"/>
        <c:spPr>
          <a:solidFill>
            <a:srgbClr val="00B050"/>
          </a:solidFill>
          <a:ln>
            <a:noFill/>
          </a:ln>
          <a:effectLst/>
        </c:spPr>
      </c:pivotFmt>
      <c:pivotFmt>
        <c:idx val="462"/>
        <c:spPr>
          <a:solidFill>
            <a:srgbClr val="00B050"/>
          </a:solidFill>
          <a:ln>
            <a:noFill/>
          </a:ln>
          <a:effectLst/>
        </c:spPr>
      </c:pivotFmt>
      <c:pivotFmt>
        <c:idx val="463"/>
        <c:spPr>
          <a:solidFill>
            <a:srgbClr val="00B050"/>
          </a:solidFill>
          <a:ln>
            <a:noFill/>
          </a:ln>
          <a:effectLst/>
        </c:spPr>
      </c:pivotFmt>
      <c:pivotFmt>
        <c:idx val="464"/>
        <c:spPr>
          <a:solidFill>
            <a:srgbClr val="00B050"/>
          </a:solidFill>
          <a:ln>
            <a:noFill/>
          </a:ln>
          <a:effectLst/>
        </c:spPr>
      </c:pivotFmt>
      <c:pivotFmt>
        <c:idx val="465"/>
        <c:spPr>
          <a:solidFill>
            <a:srgbClr val="00B050"/>
          </a:solidFill>
          <a:ln>
            <a:noFill/>
          </a:ln>
          <a:effectLst/>
        </c:spPr>
      </c:pivotFmt>
      <c:pivotFmt>
        <c:idx val="466"/>
        <c:spPr>
          <a:solidFill>
            <a:srgbClr val="00B050"/>
          </a:solidFill>
          <a:ln>
            <a:noFill/>
          </a:ln>
          <a:effectLst/>
        </c:spPr>
      </c:pivotFmt>
      <c:pivotFmt>
        <c:idx val="467"/>
        <c:spPr>
          <a:solidFill>
            <a:srgbClr val="00B050"/>
          </a:solidFill>
          <a:ln>
            <a:noFill/>
          </a:ln>
          <a:effectLst/>
        </c:spPr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rgbClr val="FFD700"/>
          </a:solidFill>
          <a:ln>
            <a:noFill/>
          </a:ln>
          <a:effectLst/>
        </c:spPr>
      </c:pivotFmt>
      <c:pivotFmt>
        <c:idx val="470"/>
        <c:spPr>
          <a:solidFill>
            <a:srgbClr val="FFD700"/>
          </a:solidFill>
          <a:ln>
            <a:noFill/>
          </a:ln>
          <a:effectLst/>
        </c:spPr>
      </c:pivotFmt>
      <c:pivotFmt>
        <c:idx val="471"/>
        <c:spPr>
          <a:solidFill>
            <a:srgbClr val="FFD700"/>
          </a:solidFill>
          <a:ln>
            <a:noFill/>
          </a:ln>
          <a:effectLst/>
        </c:spPr>
      </c:pivotFmt>
      <c:pivotFmt>
        <c:idx val="472"/>
        <c:spPr>
          <a:solidFill>
            <a:srgbClr val="FFD700"/>
          </a:solidFill>
          <a:ln>
            <a:noFill/>
          </a:ln>
          <a:effectLst/>
        </c:spPr>
      </c:pivotFmt>
      <c:pivotFmt>
        <c:idx val="473"/>
        <c:spPr>
          <a:solidFill>
            <a:srgbClr val="FFD700"/>
          </a:solidFill>
          <a:ln>
            <a:noFill/>
          </a:ln>
          <a:effectLst/>
        </c:spPr>
      </c:pivotFmt>
      <c:pivotFmt>
        <c:idx val="474"/>
        <c:spPr>
          <a:solidFill>
            <a:srgbClr val="00B050"/>
          </a:solidFill>
          <a:ln>
            <a:noFill/>
          </a:ln>
          <a:effectLst/>
        </c:spPr>
      </c:pivotFmt>
      <c:pivotFmt>
        <c:idx val="475"/>
        <c:spPr>
          <a:solidFill>
            <a:srgbClr val="00B050"/>
          </a:solidFill>
          <a:ln>
            <a:noFill/>
          </a:ln>
          <a:effectLst/>
        </c:spPr>
      </c:pivotFmt>
      <c:pivotFmt>
        <c:idx val="476"/>
        <c:spPr>
          <a:solidFill>
            <a:srgbClr val="00B050"/>
          </a:solidFill>
          <a:ln>
            <a:noFill/>
          </a:ln>
          <a:effectLst/>
        </c:spPr>
      </c:pivotFmt>
      <c:pivotFmt>
        <c:idx val="477"/>
        <c:spPr>
          <a:solidFill>
            <a:srgbClr val="00B050"/>
          </a:solidFill>
          <a:ln>
            <a:noFill/>
          </a:ln>
          <a:effectLst/>
        </c:spPr>
      </c:pivotFmt>
      <c:pivotFmt>
        <c:idx val="478"/>
        <c:spPr>
          <a:solidFill>
            <a:srgbClr val="00B050"/>
          </a:solidFill>
          <a:ln>
            <a:noFill/>
          </a:ln>
          <a:effectLst/>
        </c:spPr>
      </c:pivotFmt>
      <c:pivotFmt>
        <c:idx val="479"/>
        <c:spPr>
          <a:solidFill>
            <a:srgbClr val="00B050"/>
          </a:solidFill>
          <a:ln>
            <a:noFill/>
          </a:ln>
          <a:effectLst/>
        </c:spPr>
      </c:pivotFmt>
      <c:pivotFmt>
        <c:idx val="480"/>
        <c:spPr>
          <a:solidFill>
            <a:srgbClr val="00B050"/>
          </a:solidFill>
          <a:ln>
            <a:noFill/>
          </a:ln>
          <a:effectLst/>
        </c:spPr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rgbClr val="FFD700"/>
          </a:solidFill>
          <a:ln>
            <a:noFill/>
          </a:ln>
          <a:effectLst/>
        </c:spPr>
      </c:pivotFmt>
      <c:pivotFmt>
        <c:idx val="483"/>
        <c:spPr>
          <a:solidFill>
            <a:srgbClr val="FFD700"/>
          </a:solidFill>
          <a:ln>
            <a:noFill/>
          </a:ln>
          <a:effectLst/>
        </c:spPr>
      </c:pivotFmt>
      <c:pivotFmt>
        <c:idx val="484"/>
        <c:spPr>
          <a:solidFill>
            <a:srgbClr val="FFD700"/>
          </a:solidFill>
          <a:ln>
            <a:noFill/>
          </a:ln>
          <a:effectLst/>
        </c:spPr>
      </c:pivotFmt>
      <c:pivotFmt>
        <c:idx val="485"/>
        <c:spPr>
          <a:solidFill>
            <a:srgbClr val="FFD700"/>
          </a:solidFill>
          <a:ln>
            <a:noFill/>
          </a:ln>
          <a:effectLst/>
        </c:spPr>
      </c:pivotFmt>
      <c:pivotFmt>
        <c:idx val="486"/>
        <c:spPr>
          <a:solidFill>
            <a:srgbClr val="FFD700"/>
          </a:solidFill>
          <a:ln>
            <a:noFill/>
          </a:ln>
          <a:effectLst/>
        </c:spPr>
      </c:pivotFmt>
      <c:pivotFmt>
        <c:idx val="487"/>
        <c:spPr>
          <a:solidFill>
            <a:srgbClr val="00B050"/>
          </a:solidFill>
          <a:ln>
            <a:noFill/>
          </a:ln>
          <a:effectLst/>
        </c:spPr>
      </c:pivotFmt>
      <c:pivotFmt>
        <c:idx val="488"/>
        <c:spPr>
          <a:solidFill>
            <a:srgbClr val="00B050"/>
          </a:solidFill>
          <a:ln>
            <a:noFill/>
          </a:ln>
          <a:effectLst/>
        </c:spPr>
      </c:pivotFmt>
      <c:pivotFmt>
        <c:idx val="489"/>
        <c:spPr>
          <a:solidFill>
            <a:srgbClr val="00B050"/>
          </a:solidFill>
          <a:ln>
            <a:noFill/>
          </a:ln>
          <a:effectLst/>
        </c:spPr>
      </c:pivotFmt>
      <c:pivotFmt>
        <c:idx val="490"/>
        <c:spPr>
          <a:solidFill>
            <a:srgbClr val="00B050"/>
          </a:solidFill>
          <a:ln>
            <a:noFill/>
          </a:ln>
          <a:effectLst/>
        </c:spPr>
      </c:pivotFmt>
      <c:pivotFmt>
        <c:idx val="491"/>
        <c:spPr>
          <a:solidFill>
            <a:srgbClr val="00B050"/>
          </a:solidFill>
          <a:ln>
            <a:noFill/>
          </a:ln>
          <a:effectLst/>
        </c:spPr>
      </c:pivotFmt>
      <c:pivotFmt>
        <c:idx val="492"/>
        <c:spPr>
          <a:solidFill>
            <a:srgbClr val="00B050"/>
          </a:solidFill>
          <a:ln>
            <a:noFill/>
          </a:ln>
          <a:effectLst/>
        </c:spPr>
      </c:pivotFmt>
      <c:pivotFmt>
        <c:idx val="493"/>
        <c:spPr>
          <a:solidFill>
            <a:srgbClr val="00B050"/>
          </a:solidFill>
          <a:ln>
            <a:noFill/>
          </a:ln>
          <a:effectLst/>
        </c:spPr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FD700"/>
          </a:solidFill>
          <a:ln>
            <a:noFill/>
          </a:ln>
          <a:effectLst/>
        </c:spPr>
      </c:pivotFmt>
      <c:pivotFmt>
        <c:idx val="496"/>
        <c:spPr>
          <a:solidFill>
            <a:srgbClr val="FFD700"/>
          </a:solidFill>
          <a:ln>
            <a:noFill/>
          </a:ln>
          <a:effectLst/>
        </c:spPr>
      </c:pivotFmt>
      <c:pivotFmt>
        <c:idx val="497"/>
        <c:spPr>
          <a:solidFill>
            <a:srgbClr val="00B050"/>
          </a:solidFill>
          <a:ln>
            <a:noFill/>
          </a:ln>
          <a:effectLst/>
        </c:spPr>
      </c:pivotFmt>
      <c:pivotFmt>
        <c:idx val="498"/>
        <c:spPr>
          <a:solidFill>
            <a:srgbClr val="00B050"/>
          </a:solidFill>
          <a:ln>
            <a:noFill/>
          </a:ln>
          <a:effectLst/>
        </c:spPr>
      </c:pivotFmt>
      <c:pivotFmt>
        <c:idx val="499"/>
        <c:spPr>
          <a:solidFill>
            <a:srgbClr val="00B050"/>
          </a:solidFill>
          <a:ln>
            <a:noFill/>
          </a:ln>
          <a:effectLst/>
        </c:spPr>
      </c:pivotFmt>
      <c:pivotFmt>
        <c:idx val="500"/>
        <c:spPr>
          <a:solidFill>
            <a:srgbClr val="00B050"/>
          </a:solidFill>
          <a:ln>
            <a:noFill/>
          </a:ln>
          <a:effectLst/>
        </c:spPr>
      </c:pivotFmt>
      <c:pivotFmt>
        <c:idx val="501"/>
        <c:spPr>
          <a:solidFill>
            <a:srgbClr val="FFD700"/>
          </a:solidFill>
          <a:ln>
            <a:noFill/>
          </a:ln>
          <a:effectLst/>
        </c:spPr>
      </c:pivotFmt>
      <c:pivotFmt>
        <c:idx val="502"/>
        <c:spPr>
          <a:solidFill>
            <a:srgbClr val="FFD700"/>
          </a:solidFill>
          <a:ln>
            <a:noFill/>
          </a:ln>
          <a:effectLst/>
        </c:spPr>
      </c:pivotFmt>
      <c:pivotFmt>
        <c:idx val="503"/>
        <c:spPr>
          <a:solidFill>
            <a:srgbClr val="FFD700"/>
          </a:solidFill>
          <a:ln>
            <a:noFill/>
          </a:ln>
          <a:effectLst/>
        </c:spPr>
      </c:pivotFmt>
      <c:pivotFmt>
        <c:idx val="504"/>
        <c:spPr>
          <a:solidFill>
            <a:srgbClr val="00B050"/>
          </a:solidFill>
          <a:ln>
            <a:noFill/>
          </a:ln>
          <a:effectLst/>
        </c:spPr>
      </c:pivotFmt>
      <c:pivotFmt>
        <c:idx val="505"/>
        <c:spPr>
          <a:solidFill>
            <a:srgbClr val="00B050"/>
          </a:solidFill>
          <a:ln>
            <a:noFill/>
          </a:ln>
          <a:effectLst/>
        </c:spPr>
      </c:pivotFmt>
      <c:pivotFmt>
        <c:idx val="506"/>
        <c:spPr>
          <a:solidFill>
            <a:srgbClr val="00B050"/>
          </a:solidFill>
          <a:ln>
            <a:noFill/>
          </a:ln>
          <a:effectLst/>
        </c:spPr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FFD700"/>
          </a:solidFill>
          <a:ln>
            <a:noFill/>
          </a:ln>
          <a:effectLst/>
        </c:spPr>
      </c:pivotFmt>
      <c:pivotFmt>
        <c:idx val="510"/>
        <c:spPr>
          <a:solidFill>
            <a:srgbClr val="FFD700"/>
          </a:solidFill>
          <a:ln>
            <a:noFill/>
          </a:ln>
          <a:effectLst/>
        </c:spPr>
      </c:pivotFmt>
      <c:pivotFmt>
        <c:idx val="511"/>
        <c:spPr>
          <a:solidFill>
            <a:srgbClr val="FFD700"/>
          </a:solidFill>
          <a:ln>
            <a:noFill/>
          </a:ln>
          <a:effectLst/>
        </c:spPr>
      </c:pivotFmt>
      <c:pivotFmt>
        <c:idx val="512"/>
        <c:spPr>
          <a:solidFill>
            <a:srgbClr val="FFD700"/>
          </a:solidFill>
          <a:ln>
            <a:noFill/>
          </a:ln>
          <a:effectLst/>
        </c:spPr>
      </c:pivotFmt>
      <c:pivotFmt>
        <c:idx val="513"/>
        <c:spPr>
          <a:solidFill>
            <a:srgbClr val="FFD700"/>
          </a:solidFill>
          <a:ln>
            <a:noFill/>
          </a:ln>
          <a:effectLst/>
        </c:spPr>
      </c:pivotFmt>
      <c:pivotFmt>
        <c:idx val="514"/>
        <c:spPr>
          <a:solidFill>
            <a:srgbClr val="00B050"/>
          </a:solidFill>
          <a:ln>
            <a:noFill/>
          </a:ln>
          <a:effectLst/>
        </c:spPr>
      </c:pivotFmt>
      <c:pivotFmt>
        <c:idx val="515"/>
        <c:spPr>
          <a:solidFill>
            <a:srgbClr val="00B050"/>
          </a:solidFill>
          <a:ln>
            <a:noFill/>
          </a:ln>
          <a:effectLst/>
        </c:spPr>
      </c:pivotFmt>
      <c:pivotFmt>
        <c:idx val="516"/>
        <c:spPr>
          <a:solidFill>
            <a:srgbClr val="00B050"/>
          </a:solidFill>
          <a:ln>
            <a:noFill/>
          </a:ln>
          <a:effectLst/>
        </c:spPr>
      </c:pivotFmt>
      <c:pivotFmt>
        <c:idx val="517"/>
        <c:spPr>
          <a:solidFill>
            <a:srgbClr val="00B050"/>
          </a:solidFill>
          <a:ln>
            <a:noFill/>
          </a:ln>
          <a:effectLst/>
        </c:spPr>
      </c:pivotFmt>
      <c:pivotFmt>
        <c:idx val="518"/>
        <c:spPr>
          <a:solidFill>
            <a:srgbClr val="00B050"/>
          </a:solidFill>
          <a:ln>
            <a:noFill/>
          </a:ln>
          <a:effectLst/>
        </c:spPr>
      </c:pivotFmt>
      <c:pivotFmt>
        <c:idx val="519"/>
        <c:spPr>
          <a:solidFill>
            <a:srgbClr val="00B050"/>
          </a:solidFill>
          <a:ln>
            <a:noFill/>
          </a:ln>
          <a:effectLst/>
        </c:spPr>
      </c:pivotFmt>
      <c:pivotFmt>
        <c:idx val="520"/>
        <c:spPr>
          <a:solidFill>
            <a:srgbClr val="00B050"/>
          </a:solidFill>
          <a:ln>
            <a:noFill/>
          </a:ln>
          <a:effectLst/>
        </c:spPr>
      </c:pivotFmt>
      <c:pivotFmt>
        <c:idx val="521"/>
        <c:spPr>
          <a:solidFill>
            <a:srgbClr val="FFD700"/>
          </a:solidFill>
          <a:ln>
            <a:noFill/>
          </a:ln>
          <a:effectLst/>
        </c:spPr>
      </c:pivotFmt>
      <c:pivotFmt>
        <c:idx val="522"/>
        <c:spPr>
          <a:solidFill>
            <a:srgbClr val="FFD700"/>
          </a:solidFill>
          <a:ln>
            <a:noFill/>
          </a:ln>
          <a:effectLst/>
        </c:spPr>
      </c:pivotFmt>
      <c:pivotFmt>
        <c:idx val="523"/>
        <c:spPr>
          <a:solidFill>
            <a:srgbClr val="FFD700"/>
          </a:solidFill>
          <a:ln>
            <a:noFill/>
          </a:ln>
          <a:effectLst/>
        </c:spPr>
      </c:pivotFmt>
      <c:pivotFmt>
        <c:idx val="524"/>
        <c:spPr>
          <a:solidFill>
            <a:srgbClr val="FFD700"/>
          </a:solidFill>
          <a:ln>
            <a:noFill/>
          </a:ln>
          <a:effectLst/>
        </c:spPr>
      </c:pivotFmt>
      <c:pivotFmt>
        <c:idx val="525"/>
        <c:spPr>
          <a:solidFill>
            <a:srgbClr val="FFD700"/>
          </a:solidFill>
          <a:ln>
            <a:noFill/>
          </a:ln>
          <a:effectLst/>
        </c:spPr>
      </c:pivotFmt>
      <c:pivotFmt>
        <c:idx val="526"/>
        <c:spPr>
          <a:solidFill>
            <a:srgbClr val="00B050"/>
          </a:solidFill>
          <a:ln>
            <a:noFill/>
          </a:ln>
          <a:effectLst/>
        </c:spPr>
      </c:pivotFmt>
      <c:pivotFmt>
        <c:idx val="527"/>
        <c:spPr>
          <a:solidFill>
            <a:srgbClr val="00B050"/>
          </a:solidFill>
          <a:ln>
            <a:noFill/>
          </a:ln>
          <a:effectLst/>
        </c:spPr>
      </c:pivotFmt>
      <c:pivotFmt>
        <c:idx val="528"/>
        <c:spPr>
          <a:solidFill>
            <a:srgbClr val="00B050"/>
          </a:solidFill>
          <a:ln>
            <a:noFill/>
          </a:ln>
          <a:effectLst/>
        </c:spPr>
      </c:pivotFmt>
      <c:pivotFmt>
        <c:idx val="529"/>
        <c:spPr>
          <a:solidFill>
            <a:srgbClr val="00B050"/>
          </a:solidFill>
          <a:ln>
            <a:noFill/>
          </a:ln>
          <a:effectLst/>
        </c:spPr>
      </c:pivotFmt>
      <c:pivotFmt>
        <c:idx val="530"/>
        <c:spPr>
          <a:solidFill>
            <a:srgbClr val="00B050"/>
          </a:solidFill>
          <a:ln>
            <a:noFill/>
          </a:ln>
          <a:effectLst/>
        </c:spPr>
      </c:pivotFmt>
      <c:pivotFmt>
        <c:idx val="531"/>
        <c:spPr>
          <a:solidFill>
            <a:srgbClr val="00B050"/>
          </a:solidFill>
          <a:ln>
            <a:noFill/>
          </a:ln>
          <a:effectLst/>
        </c:spPr>
      </c:pivotFmt>
      <c:pivotFmt>
        <c:idx val="532"/>
        <c:spPr>
          <a:solidFill>
            <a:srgbClr val="00B050"/>
          </a:solidFill>
          <a:ln>
            <a:noFill/>
          </a:ln>
          <a:effectLst/>
        </c:spPr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FFD700"/>
          </a:solidFill>
          <a:ln>
            <a:noFill/>
          </a:ln>
          <a:effectLst/>
        </c:spPr>
      </c:pivotFmt>
      <c:pivotFmt>
        <c:idx val="535"/>
        <c:spPr>
          <a:solidFill>
            <a:srgbClr val="FFD700"/>
          </a:solidFill>
          <a:ln>
            <a:noFill/>
          </a:ln>
          <a:effectLst/>
        </c:spPr>
      </c:pivotFmt>
      <c:pivotFmt>
        <c:idx val="536"/>
        <c:spPr>
          <a:solidFill>
            <a:srgbClr val="FFD700"/>
          </a:solidFill>
          <a:ln>
            <a:noFill/>
          </a:ln>
          <a:effectLst/>
        </c:spPr>
      </c:pivotFmt>
      <c:pivotFmt>
        <c:idx val="537"/>
        <c:spPr>
          <a:solidFill>
            <a:srgbClr val="FFD700"/>
          </a:solidFill>
          <a:ln>
            <a:noFill/>
          </a:ln>
          <a:effectLst/>
        </c:spPr>
      </c:pivotFmt>
      <c:pivotFmt>
        <c:idx val="538"/>
        <c:spPr>
          <a:solidFill>
            <a:srgbClr val="FFD700"/>
          </a:solidFill>
          <a:ln>
            <a:noFill/>
          </a:ln>
          <a:effectLst/>
        </c:spPr>
      </c:pivotFmt>
      <c:pivotFmt>
        <c:idx val="539"/>
        <c:spPr>
          <a:solidFill>
            <a:srgbClr val="00B050"/>
          </a:solidFill>
          <a:ln>
            <a:noFill/>
          </a:ln>
          <a:effectLst/>
        </c:spPr>
      </c:pivotFmt>
      <c:pivotFmt>
        <c:idx val="540"/>
        <c:spPr>
          <a:solidFill>
            <a:srgbClr val="00B050"/>
          </a:solidFill>
          <a:ln>
            <a:noFill/>
          </a:ln>
          <a:effectLst/>
        </c:spPr>
      </c:pivotFmt>
      <c:pivotFmt>
        <c:idx val="541"/>
        <c:spPr>
          <a:solidFill>
            <a:srgbClr val="00B050"/>
          </a:solidFill>
          <a:ln>
            <a:noFill/>
          </a:ln>
          <a:effectLst/>
        </c:spPr>
      </c:pivotFmt>
      <c:pivotFmt>
        <c:idx val="542"/>
        <c:spPr>
          <a:solidFill>
            <a:srgbClr val="00B050"/>
          </a:solidFill>
          <a:ln>
            <a:noFill/>
          </a:ln>
          <a:effectLst/>
        </c:spPr>
      </c:pivotFmt>
      <c:pivotFmt>
        <c:idx val="543"/>
        <c:spPr>
          <a:solidFill>
            <a:srgbClr val="00B050"/>
          </a:solidFill>
          <a:ln>
            <a:noFill/>
          </a:ln>
          <a:effectLst/>
        </c:spPr>
      </c:pivotFmt>
      <c:pivotFmt>
        <c:idx val="544"/>
        <c:spPr>
          <a:solidFill>
            <a:srgbClr val="00B050"/>
          </a:solidFill>
          <a:ln>
            <a:noFill/>
          </a:ln>
          <a:effectLst/>
        </c:spPr>
      </c:pivotFmt>
      <c:pivotFmt>
        <c:idx val="545"/>
        <c:spPr>
          <a:solidFill>
            <a:srgbClr val="00B050"/>
          </a:solidFill>
          <a:ln>
            <a:noFill/>
          </a:ln>
          <a:effectLst/>
        </c:spPr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rgbClr val="FFD700"/>
          </a:solidFill>
          <a:ln>
            <a:noFill/>
          </a:ln>
          <a:effectLst/>
        </c:spPr>
      </c:pivotFmt>
      <c:pivotFmt>
        <c:idx val="548"/>
        <c:spPr>
          <a:solidFill>
            <a:srgbClr val="FFD700"/>
          </a:solidFill>
          <a:ln>
            <a:noFill/>
          </a:ln>
          <a:effectLst/>
        </c:spPr>
      </c:pivotFmt>
      <c:pivotFmt>
        <c:idx val="549"/>
        <c:spPr>
          <a:solidFill>
            <a:srgbClr val="FFD700"/>
          </a:solidFill>
          <a:ln>
            <a:noFill/>
          </a:ln>
          <a:effectLst/>
        </c:spPr>
      </c:pivotFmt>
      <c:pivotFmt>
        <c:idx val="550"/>
        <c:spPr>
          <a:solidFill>
            <a:srgbClr val="FFD700"/>
          </a:solidFill>
          <a:ln>
            <a:noFill/>
          </a:ln>
          <a:effectLst/>
        </c:spPr>
      </c:pivotFmt>
      <c:pivotFmt>
        <c:idx val="551"/>
        <c:spPr>
          <a:solidFill>
            <a:srgbClr val="FFD700"/>
          </a:solidFill>
          <a:ln>
            <a:noFill/>
          </a:ln>
          <a:effectLst/>
        </c:spPr>
      </c:pivotFmt>
      <c:pivotFmt>
        <c:idx val="552"/>
        <c:spPr>
          <a:solidFill>
            <a:srgbClr val="00B050"/>
          </a:solidFill>
          <a:ln>
            <a:noFill/>
          </a:ln>
          <a:effectLst/>
        </c:spPr>
      </c:pivotFmt>
      <c:pivotFmt>
        <c:idx val="553"/>
        <c:spPr>
          <a:solidFill>
            <a:srgbClr val="00B050"/>
          </a:solidFill>
          <a:ln>
            <a:noFill/>
          </a:ln>
          <a:effectLst/>
        </c:spPr>
      </c:pivotFmt>
      <c:pivotFmt>
        <c:idx val="554"/>
        <c:spPr>
          <a:solidFill>
            <a:srgbClr val="00B050"/>
          </a:solidFill>
          <a:ln>
            <a:noFill/>
          </a:ln>
          <a:effectLst/>
        </c:spPr>
      </c:pivotFmt>
      <c:pivotFmt>
        <c:idx val="555"/>
        <c:spPr>
          <a:solidFill>
            <a:srgbClr val="00B050"/>
          </a:solidFill>
          <a:ln>
            <a:noFill/>
          </a:ln>
          <a:effectLst/>
        </c:spPr>
      </c:pivotFmt>
      <c:pivotFmt>
        <c:idx val="556"/>
        <c:spPr>
          <a:solidFill>
            <a:srgbClr val="00B050"/>
          </a:solidFill>
          <a:ln>
            <a:noFill/>
          </a:ln>
          <a:effectLst/>
        </c:spPr>
      </c:pivotFmt>
      <c:pivotFmt>
        <c:idx val="557"/>
        <c:spPr>
          <a:solidFill>
            <a:srgbClr val="00B050"/>
          </a:solidFill>
          <a:ln>
            <a:noFill/>
          </a:ln>
          <a:effectLst/>
        </c:spPr>
      </c:pivotFmt>
      <c:pivotFmt>
        <c:idx val="558"/>
        <c:spPr>
          <a:solidFill>
            <a:srgbClr val="00B050"/>
          </a:solidFill>
          <a:ln>
            <a:noFill/>
          </a:ln>
          <a:effectLst/>
        </c:spPr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rgbClr val="FFD700"/>
          </a:solidFill>
          <a:ln>
            <a:noFill/>
          </a:ln>
          <a:effectLst/>
        </c:spPr>
      </c:pivotFmt>
      <c:pivotFmt>
        <c:idx val="561"/>
        <c:spPr>
          <a:solidFill>
            <a:srgbClr val="FFD700"/>
          </a:solidFill>
          <a:ln>
            <a:noFill/>
          </a:ln>
          <a:effectLst/>
        </c:spPr>
      </c:pivotFmt>
      <c:pivotFmt>
        <c:idx val="562"/>
        <c:spPr>
          <a:solidFill>
            <a:srgbClr val="FFD700"/>
          </a:solidFill>
          <a:ln>
            <a:noFill/>
          </a:ln>
          <a:effectLst/>
        </c:spPr>
      </c:pivotFmt>
      <c:pivotFmt>
        <c:idx val="563"/>
        <c:spPr>
          <a:solidFill>
            <a:srgbClr val="FFD700"/>
          </a:solidFill>
          <a:ln>
            <a:noFill/>
          </a:ln>
          <a:effectLst/>
        </c:spPr>
      </c:pivotFmt>
      <c:pivotFmt>
        <c:idx val="564"/>
        <c:spPr>
          <a:solidFill>
            <a:srgbClr val="FFD700"/>
          </a:solidFill>
          <a:ln>
            <a:noFill/>
          </a:ln>
          <a:effectLst/>
        </c:spPr>
      </c:pivotFmt>
      <c:pivotFmt>
        <c:idx val="565"/>
        <c:spPr>
          <a:solidFill>
            <a:srgbClr val="00B050"/>
          </a:solidFill>
          <a:ln>
            <a:noFill/>
          </a:ln>
          <a:effectLst/>
        </c:spPr>
      </c:pivotFmt>
      <c:pivotFmt>
        <c:idx val="566"/>
        <c:spPr>
          <a:solidFill>
            <a:srgbClr val="00B050"/>
          </a:solidFill>
          <a:ln>
            <a:noFill/>
          </a:ln>
          <a:effectLst/>
        </c:spPr>
      </c:pivotFmt>
      <c:pivotFmt>
        <c:idx val="567"/>
        <c:spPr>
          <a:solidFill>
            <a:srgbClr val="00B050"/>
          </a:solidFill>
          <a:ln>
            <a:noFill/>
          </a:ln>
          <a:effectLst/>
        </c:spPr>
      </c:pivotFmt>
      <c:pivotFmt>
        <c:idx val="568"/>
        <c:spPr>
          <a:solidFill>
            <a:srgbClr val="00B050"/>
          </a:solidFill>
          <a:ln>
            <a:noFill/>
          </a:ln>
          <a:effectLst/>
        </c:spPr>
      </c:pivotFmt>
      <c:pivotFmt>
        <c:idx val="569"/>
        <c:spPr>
          <a:solidFill>
            <a:srgbClr val="00B050"/>
          </a:solidFill>
          <a:ln>
            <a:noFill/>
          </a:ln>
          <a:effectLst/>
        </c:spPr>
      </c:pivotFmt>
      <c:pivotFmt>
        <c:idx val="570"/>
        <c:spPr>
          <a:solidFill>
            <a:srgbClr val="00B050"/>
          </a:solidFill>
          <a:ln>
            <a:noFill/>
          </a:ln>
          <a:effectLst/>
        </c:spPr>
      </c:pivotFmt>
      <c:pivotFmt>
        <c:idx val="571"/>
        <c:spPr>
          <a:solidFill>
            <a:srgbClr val="00B050"/>
          </a:solidFill>
          <a:ln>
            <a:noFill/>
          </a:ln>
          <a:effectLst/>
        </c:spPr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FFD700"/>
          </a:solidFill>
          <a:ln>
            <a:noFill/>
          </a:ln>
          <a:effectLst/>
        </c:spPr>
      </c:pivotFmt>
      <c:pivotFmt>
        <c:idx val="574"/>
        <c:spPr>
          <a:solidFill>
            <a:srgbClr val="FFD700"/>
          </a:solidFill>
          <a:ln>
            <a:noFill/>
          </a:ln>
          <a:effectLst/>
        </c:spPr>
      </c:pivotFmt>
      <c:pivotFmt>
        <c:idx val="575"/>
        <c:spPr>
          <a:solidFill>
            <a:srgbClr val="FFD700"/>
          </a:solidFill>
          <a:ln>
            <a:noFill/>
          </a:ln>
          <a:effectLst/>
        </c:spPr>
      </c:pivotFmt>
      <c:pivotFmt>
        <c:idx val="576"/>
        <c:spPr>
          <a:solidFill>
            <a:srgbClr val="FFD700"/>
          </a:solidFill>
          <a:ln>
            <a:noFill/>
          </a:ln>
          <a:effectLst/>
        </c:spPr>
      </c:pivotFmt>
      <c:pivotFmt>
        <c:idx val="577"/>
        <c:spPr>
          <a:solidFill>
            <a:srgbClr val="FFD700"/>
          </a:solidFill>
          <a:ln>
            <a:noFill/>
          </a:ln>
          <a:effectLst/>
        </c:spPr>
      </c:pivotFmt>
      <c:pivotFmt>
        <c:idx val="578"/>
        <c:spPr>
          <a:solidFill>
            <a:srgbClr val="00B050"/>
          </a:solidFill>
          <a:ln>
            <a:noFill/>
          </a:ln>
          <a:effectLst/>
        </c:spPr>
      </c:pivotFmt>
      <c:pivotFmt>
        <c:idx val="579"/>
        <c:spPr>
          <a:solidFill>
            <a:srgbClr val="00B050"/>
          </a:solidFill>
          <a:ln>
            <a:noFill/>
          </a:ln>
          <a:effectLst/>
        </c:spPr>
      </c:pivotFmt>
      <c:pivotFmt>
        <c:idx val="580"/>
        <c:spPr>
          <a:solidFill>
            <a:srgbClr val="00B050"/>
          </a:solidFill>
          <a:ln>
            <a:noFill/>
          </a:ln>
          <a:effectLst/>
        </c:spPr>
      </c:pivotFmt>
      <c:pivotFmt>
        <c:idx val="581"/>
        <c:spPr>
          <a:solidFill>
            <a:srgbClr val="00B050"/>
          </a:solidFill>
          <a:ln>
            <a:noFill/>
          </a:ln>
          <a:effectLst/>
        </c:spPr>
      </c:pivotFmt>
      <c:pivotFmt>
        <c:idx val="582"/>
        <c:spPr>
          <a:solidFill>
            <a:srgbClr val="00B050"/>
          </a:solidFill>
          <a:ln>
            <a:noFill/>
          </a:ln>
          <a:effectLst/>
        </c:spPr>
      </c:pivotFmt>
      <c:pivotFmt>
        <c:idx val="583"/>
        <c:spPr>
          <a:solidFill>
            <a:srgbClr val="00B050"/>
          </a:solidFill>
          <a:ln>
            <a:noFill/>
          </a:ln>
          <a:effectLst/>
        </c:spPr>
      </c:pivotFmt>
      <c:pivotFmt>
        <c:idx val="584"/>
        <c:spPr>
          <a:solidFill>
            <a:srgbClr val="00B050"/>
          </a:solidFill>
          <a:ln>
            <a:noFill/>
          </a:ln>
          <a:effectLst/>
        </c:spPr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FFD700"/>
          </a:solidFill>
          <a:ln>
            <a:noFill/>
          </a:ln>
          <a:effectLst/>
        </c:spPr>
      </c:pivotFmt>
      <c:pivotFmt>
        <c:idx val="587"/>
        <c:spPr>
          <a:solidFill>
            <a:srgbClr val="FFD700"/>
          </a:solidFill>
          <a:ln>
            <a:noFill/>
          </a:ln>
          <a:effectLst/>
        </c:spPr>
      </c:pivotFmt>
      <c:pivotFmt>
        <c:idx val="588"/>
        <c:spPr>
          <a:solidFill>
            <a:srgbClr val="FFD700"/>
          </a:solidFill>
          <a:ln>
            <a:noFill/>
          </a:ln>
          <a:effectLst/>
        </c:spPr>
      </c:pivotFmt>
      <c:pivotFmt>
        <c:idx val="589"/>
        <c:spPr>
          <a:solidFill>
            <a:srgbClr val="FFD700"/>
          </a:solidFill>
          <a:ln>
            <a:noFill/>
          </a:ln>
          <a:effectLst/>
        </c:spPr>
      </c:pivotFmt>
      <c:pivotFmt>
        <c:idx val="590"/>
        <c:spPr>
          <a:solidFill>
            <a:srgbClr val="FFD700"/>
          </a:solidFill>
          <a:ln>
            <a:noFill/>
          </a:ln>
          <a:effectLst/>
        </c:spPr>
      </c:pivotFmt>
      <c:pivotFmt>
        <c:idx val="591"/>
        <c:spPr>
          <a:solidFill>
            <a:srgbClr val="00B050"/>
          </a:solidFill>
          <a:ln>
            <a:noFill/>
          </a:ln>
          <a:effectLst/>
        </c:spPr>
      </c:pivotFmt>
      <c:pivotFmt>
        <c:idx val="592"/>
        <c:spPr>
          <a:solidFill>
            <a:srgbClr val="00B050"/>
          </a:solidFill>
          <a:ln>
            <a:noFill/>
          </a:ln>
          <a:effectLst/>
        </c:spPr>
      </c:pivotFmt>
      <c:pivotFmt>
        <c:idx val="593"/>
        <c:spPr>
          <a:solidFill>
            <a:srgbClr val="00B050"/>
          </a:solidFill>
          <a:ln>
            <a:noFill/>
          </a:ln>
          <a:effectLst/>
        </c:spPr>
      </c:pivotFmt>
      <c:pivotFmt>
        <c:idx val="594"/>
        <c:spPr>
          <a:solidFill>
            <a:srgbClr val="00B050"/>
          </a:solidFill>
          <a:ln>
            <a:noFill/>
          </a:ln>
          <a:effectLst/>
        </c:spPr>
      </c:pivotFmt>
      <c:pivotFmt>
        <c:idx val="595"/>
        <c:spPr>
          <a:solidFill>
            <a:srgbClr val="00B050"/>
          </a:solidFill>
          <a:ln>
            <a:noFill/>
          </a:ln>
          <a:effectLst/>
        </c:spPr>
      </c:pivotFmt>
      <c:pivotFmt>
        <c:idx val="596"/>
        <c:spPr>
          <a:solidFill>
            <a:srgbClr val="00B050"/>
          </a:solidFill>
          <a:ln>
            <a:noFill/>
          </a:ln>
          <a:effectLst/>
        </c:spPr>
      </c:pivotFmt>
      <c:pivotFmt>
        <c:idx val="597"/>
        <c:spPr>
          <a:solidFill>
            <a:srgbClr val="00B050"/>
          </a:solidFill>
          <a:ln>
            <a:noFill/>
          </a:ln>
          <a:effectLst/>
        </c:spPr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rgbClr val="FFD700"/>
          </a:solidFill>
          <a:ln>
            <a:noFill/>
          </a:ln>
          <a:effectLst/>
        </c:spPr>
      </c:pivotFmt>
      <c:pivotFmt>
        <c:idx val="600"/>
        <c:spPr>
          <a:solidFill>
            <a:srgbClr val="FFD700"/>
          </a:solidFill>
          <a:ln>
            <a:noFill/>
          </a:ln>
          <a:effectLst/>
        </c:spPr>
      </c:pivotFmt>
      <c:pivotFmt>
        <c:idx val="601"/>
        <c:spPr>
          <a:solidFill>
            <a:srgbClr val="FFD700"/>
          </a:solidFill>
          <a:ln>
            <a:noFill/>
          </a:ln>
          <a:effectLst/>
        </c:spPr>
      </c:pivotFmt>
      <c:pivotFmt>
        <c:idx val="602"/>
        <c:spPr>
          <a:solidFill>
            <a:srgbClr val="FFD700"/>
          </a:solidFill>
          <a:ln>
            <a:noFill/>
          </a:ln>
          <a:effectLst/>
        </c:spPr>
      </c:pivotFmt>
      <c:pivotFmt>
        <c:idx val="603"/>
        <c:spPr>
          <a:solidFill>
            <a:srgbClr val="FFD700"/>
          </a:solidFill>
          <a:ln>
            <a:noFill/>
          </a:ln>
          <a:effectLst/>
        </c:spPr>
      </c:pivotFmt>
      <c:pivotFmt>
        <c:idx val="604"/>
        <c:spPr>
          <a:solidFill>
            <a:srgbClr val="00B050"/>
          </a:solidFill>
          <a:ln>
            <a:noFill/>
          </a:ln>
          <a:effectLst/>
        </c:spPr>
      </c:pivotFmt>
      <c:pivotFmt>
        <c:idx val="605"/>
        <c:spPr>
          <a:solidFill>
            <a:srgbClr val="00B050"/>
          </a:solidFill>
          <a:ln>
            <a:noFill/>
          </a:ln>
          <a:effectLst/>
        </c:spPr>
      </c:pivotFmt>
      <c:pivotFmt>
        <c:idx val="606"/>
        <c:spPr>
          <a:solidFill>
            <a:srgbClr val="00B050"/>
          </a:solidFill>
          <a:ln>
            <a:noFill/>
          </a:ln>
          <a:effectLst/>
        </c:spPr>
      </c:pivotFmt>
      <c:pivotFmt>
        <c:idx val="607"/>
        <c:spPr>
          <a:solidFill>
            <a:srgbClr val="00B050"/>
          </a:solidFill>
          <a:ln>
            <a:noFill/>
          </a:ln>
          <a:effectLst/>
        </c:spPr>
      </c:pivotFmt>
      <c:pivotFmt>
        <c:idx val="608"/>
        <c:spPr>
          <a:solidFill>
            <a:srgbClr val="00B050"/>
          </a:solidFill>
          <a:ln>
            <a:noFill/>
          </a:ln>
          <a:effectLst/>
        </c:spPr>
      </c:pivotFmt>
      <c:pivotFmt>
        <c:idx val="609"/>
        <c:spPr>
          <a:solidFill>
            <a:srgbClr val="00B050"/>
          </a:solidFill>
          <a:ln>
            <a:noFill/>
          </a:ln>
          <a:effectLst/>
        </c:spPr>
      </c:pivotFmt>
      <c:pivotFmt>
        <c:idx val="610"/>
        <c:spPr>
          <a:solidFill>
            <a:srgbClr val="00B050"/>
          </a:solidFill>
          <a:ln>
            <a:noFill/>
          </a:ln>
          <a:effectLst/>
        </c:spPr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rgbClr val="FFD700"/>
          </a:solidFill>
          <a:ln>
            <a:noFill/>
          </a:ln>
          <a:effectLst/>
        </c:spPr>
      </c:pivotFmt>
      <c:pivotFmt>
        <c:idx val="613"/>
        <c:spPr>
          <a:solidFill>
            <a:srgbClr val="FFD700"/>
          </a:solidFill>
          <a:ln>
            <a:noFill/>
          </a:ln>
          <a:effectLst/>
        </c:spPr>
      </c:pivotFmt>
      <c:pivotFmt>
        <c:idx val="614"/>
        <c:spPr>
          <a:solidFill>
            <a:srgbClr val="FFD700"/>
          </a:solidFill>
          <a:ln>
            <a:noFill/>
          </a:ln>
          <a:effectLst/>
        </c:spPr>
      </c:pivotFmt>
      <c:pivotFmt>
        <c:idx val="615"/>
        <c:spPr>
          <a:solidFill>
            <a:srgbClr val="FFD700"/>
          </a:solidFill>
          <a:ln>
            <a:noFill/>
          </a:ln>
          <a:effectLst/>
        </c:spPr>
      </c:pivotFmt>
      <c:pivotFmt>
        <c:idx val="616"/>
        <c:spPr>
          <a:solidFill>
            <a:srgbClr val="FFD700"/>
          </a:solidFill>
          <a:ln>
            <a:noFill/>
          </a:ln>
          <a:effectLst/>
        </c:spPr>
      </c:pivotFmt>
      <c:pivotFmt>
        <c:idx val="617"/>
        <c:spPr>
          <a:solidFill>
            <a:srgbClr val="00B050"/>
          </a:solidFill>
          <a:ln>
            <a:noFill/>
          </a:ln>
          <a:effectLst/>
        </c:spPr>
      </c:pivotFmt>
      <c:pivotFmt>
        <c:idx val="618"/>
        <c:spPr>
          <a:solidFill>
            <a:srgbClr val="00B050"/>
          </a:solidFill>
          <a:ln>
            <a:noFill/>
          </a:ln>
          <a:effectLst/>
        </c:spPr>
      </c:pivotFmt>
      <c:pivotFmt>
        <c:idx val="619"/>
        <c:spPr>
          <a:solidFill>
            <a:srgbClr val="00B050"/>
          </a:solidFill>
          <a:ln>
            <a:noFill/>
          </a:ln>
          <a:effectLst/>
        </c:spPr>
      </c:pivotFmt>
      <c:pivotFmt>
        <c:idx val="620"/>
        <c:spPr>
          <a:solidFill>
            <a:srgbClr val="00B050"/>
          </a:solidFill>
          <a:ln>
            <a:noFill/>
          </a:ln>
          <a:effectLst/>
        </c:spPr>
      </c:pivotFmt>
      <c:pivotFmt>
        <c:idx val="621"/>
        <c:spPr>
          <a:solidFill>
            <a:srgbClr val="00B050"/>
          </a:solidFill>
          <a:ln>
            <a:noFill/>
          </a:ln>
          <a:effectLst/>
        </c:spPr>
      </c:pivotFmt>
      <c:pivotFmt>
        <c:idx val="622"/>
        <c:spPr>
          <a:solidFill>
            <a:srgbClr val="00B050"/>
          </a:solidFill>
          <a:ln>
            <a:noFill/>
          </a:ln>
          <a:effectLst/>
        </c:spPr>
      </c:pivotFmt>
      <c:pivotFmt>
        <c:idx val="623"/>
        <c:spPr>
          <a:solidFill>
            <a:srgbClr val="00B050"/>
          </a:solidFill>
          <a:ln>
            <a:noFill/>
          </a:ln>
          <a:effectLst/>
        </c:spPr>
      </c:pivotFmt>
      <c:pivotFmt>
        <c:idx val="624"/>
        <c:spPr>
          <a:solidFill>
            <a:srgbClr val="00B050"/>
          </a:solidFill>
          <a:ln>
            <a:noFill/>
          </a:ln>
          <a:effectLst/>
        </c:spPr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FFD700"/>
          </a:solidFill>
          <a:ln>
            <a:noFill/>
          </a:ln>
          <a:effectLst/>
        </c:spPr>
      </c:pivotFmt>
      <c:pivotFmt>
        <c:idx val="627"/>
        <c:spPr>
          <a:solidFill>
            <a:srgbClr val="FFD700"/>
          </a:solidFill>
          <a:ln>
            <a:noFill/>
          </a:ln>
          <a:effectLst/>
        </c:spPr>
      </c:pivotFmt>
      <c:pivotFmt>
        <c:idx val="628"/>
        <c:spPr>
          <a:solidFill>
            <a:srgbClr val="FFD700"/>
          </a:solidFill>
          <a:ln>
            <a:noFill/>
          </a:ln>
          <a:effectLst/>
        </c:spPr>
      </c:pivotFmt>
      <c:pivotFmt>
        <c:idx val="629"/>
        <c:spPr>
          <a:solidFill>
            <a:srgbClr val="FFD700"/>
          </a:solidFill>
          <a:ln>
            <a:noFill/>
          </a:ln>
          <a:effectLst/>
        </c:spPr>
      </c:pivotFmt>
      <c:pivotFmt>
        <c:idx val="630"/>
        <c:spPr>
          <a:solidFill>
            <a:srgbClr val="FFD700"/>
          </a:solidFill>
          <a:ln>
            <a:noFill/>
          </a:ln>
          <a:effectLst/>
        </c:spPr>
      </c:pivotFmt>
      <c:pivotFmt>
        <c:idx val="631"/>
        <c:spPr>
          <a:solidFill>
            <a:srgbClr val="00B050"/>
          </a:solidFill>
          <a:ln>
            <a:noFill/>
          </a:ln>
          <a:effectLst/>
        </c:spPr>
      </c:pivotFmt>
      <c:pivotFmt>
        <c:idx val="632"/>
        <c:spPr>
          <a:solidFill>
            <a:srgbClr val="00B050"/>
          </a:solidFill>
          <a:ln>
            <a:noFill/>
          </a:ln>
          <a:effectLst/>
        </c:spPr>
      </c:pivotFmt>
      <c:pivotFmt>
        <c:idx val="633"/>
        <c:spPr>
          <a:solidFill>
            <a:srgbClr val="00B050"/>
          </a:solidFill>
          <a:ln>
            <a:noFill/>
          </a:ln>
          <a:effectLst/>
        </c:spPr>
      </c:pivotFmt>
      <c:pivotFmt>
        <c:idx val="634"/>
        <c:spPr>
          <a:solidFill>
            <a:srgbClr val="00B050"/>
          </a:solidFill>
          <a:ln>
            <a:noFill/>
          </a:ln>
          <a:effectLst/>
        </c:spPr>
      </c:pivotFmt>
      <c:pivotFmt>
        <c:idx val="635"/>
        <c:spPr>
          <a:solidFill>
            <a:srgbClr val="00B050"/>
          </a:solidFill>
          <a:ln>
            <a:noFill/>
          </a:ln>
          <a:effectLst/>
        </c:spPr>
      </c:pivotFmt>
      <c:pivotFmt>
        <c:idx val="636"/>
        <c:spPr>
          <a:solidFill>
            <a:srgbClr val="00B050"/>
          </a:solidFill>
          <a:ln>
            <a:noFill/>
          </a:ln>
          <a:effectLst/>
        </c:spPr>
      </c:pivotFmt>
      <c:pivotFmt>
        <c:idx val="637"/>
        <c:spPr>
          <a:solidFill>
            <a:srgbClr val="00B050"/>
          </a:solidFill>
          <a:ln>
            <a:noFill/>
          </a:ln>
          <a:effectLst/>
        </c:spPr>
      </c:pivotFmt>
      <c:pivotFmt>
        <c:idx val="638"/>
        <c:spPr>
          <a:solidFill>
            <a:srgbClr val="00B050"/>
          </a:solidFill>
          <a:ln>
            <a:noFill/>
          </a:ln>
          <a:effectLst/>
        </c:spPr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FFD700"/>
          </a:solidFill>
          <a:ln>
            <a:noFill/>
          </a:ln>
          <a:effectLst/>
        </c:spPr>
      </c:pivotFmt>
      <c:pivotFmt>
        <c:idx val="641"/>
        <c:spPr>
          <a:solidFill>
            <a:srgbClr val="FFD700"/>
          </a:solidFill>
          <a:ln>
            <a:noFill/>
          </a:ln>
          <a:effectLst/>
        </c:spPr>
      </c:pivotFmt>
      <c:pivotFmt>
        <c:idx val="642"/>
        <c:spPr>
          <a:solidFill>
            <a:srgbClr val="FFD700"/>
          </a:solidFill>
          <a:ln>
            <a:noFill/>
          </a:ln>
          <a:effectLst/>
        </c:spPr>
      </c:pivotFmt>
      <c:pivotFmt>
        <c:idx val="643"/>
        <c:spPr>
          <a:solidFill>
            <a:srgbClr val="FFD700"/>
          </a:solidFill>
          <a:ln>
            <a:noFill/>
          </a:ln>
          <a:effectLst/>
        </c:spPr>
      </c:pivotFmt>
      <c:pivotFmt>
        <c:idx val="644"/>
        <c:spPr>
          <a:solidFill>
            <a:srgbClr val="FFD700"/>
          </a:solidFill>
          <a:ln>
            <a:noFill/>
          </a:ln>
          <a:effectLst/>
        </c:spPr>
      </c:pivotFmt>
      <c:pivotFmt>
        <c:idx val="645"/>
        <c:spPr>
          <a:solidFill>
            <a:srgbClr val="00B050"/>
          </a:solidFill>
          <a:ln>
            <a:noFill/>
          </a:ln>
          <a:effectLst/>
        </c:spPr>
      </c:pivotFmt>
      <c:pivotFmt>
        <c:idx val="646"/>
        <c:spPr>
          <a:solidFill>
            <a:srgbClr val="00B050"/>
          </a:solidFill>
          <a:ln>
            <a:noFill/>
          </a:ln>
          <a:effectLst/>
        </c:spPr>
      </c:pivotFmt>
      <c:pivotFmt>
        <c:idx val="647"/>
        <c:spPr>
          <a:solidFill>
            <a:srgbClr val="00B050"/>
          </a:solidFill>
          <a:ln>
            <a:noFill/>
          </a:ln>
          <a:effectLst/>
        </c:spPr>
      </c:pivotFmt>
      <c:pivotFmt>
        <c:idx val="648"/>
        <c:spPr>
          <a:solidFill>
            <a:srgbClr val="00B050"/>
          </a:solidFill>
          <a:ln>
            <a:noFill/>
          </a:ln>
          <a:effectLst/>
        </c:spPr>
      </c:pivotFmt>
      <c:pivotFmt>
        <c:idx val="649"/>
        <c:spPr>
          <a:solidFill>
            <a:srgbClr val="00B050"/>
          </a:solidFill>
          <a:ln>
            <a:noFill/>
          </a:ln>
          <a:effectLst/>
        </c:spPr>
      </c:pivotFmt>
      <c:pivotFmt>
        <c:idx val="650"/>
        <c:spPr>
          <a:solidFill>
            <a:srgbClr val="00B050"/>
          </a:solidFill>
          <a:ln>
            <a:noFill/>
          </a:ln>
          <a:effectLst/>
        </c:spPr>
      </c:pivotFmt>
      <c:pivotFmt>
        <c:idx val="651"/>
        <c:spPr>
          <a:solidFill>
            <a:srgbClr val="00B050"/>
          </a:solidFill>
          <a:ln>
            <a:noFill/>
          </a:ln>
          <a:effectLst/>
        </c:spPr>
      </c:pivotFmt>
      <c:pivotFmt>
        <c:idx val="652"/>
        <c:spPr>
          <a:solidFill>
            <a:srgbClr val="00B050"/>
          </a:solidFill>
          <a:ln>
            <a:noFill/>
          </a:ln>
          <a:effectLst/>
        </c:spPr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rgbClr val="FFD700"/>
          </a:solidFill>
          <a:ln>
            <a:noFill/>
          </a:ln>
          <a:effectLst/>
        </c:spPr>
      </c:pivotFmt>
      <c:pivotFmt>
        <c:idx val="655"/>
        <c:spPr>
          <a:solidFill>
            <a:srgbClr val="FFD700"/>
          </a:solidFill>
          <a:ln>
            <a:noFill/>
          </a:ln>
          <a:effectLst/>
        </c:spPr>
      </c:pivotFmt>
      <c:pivotFmt>
        <c:idx val="656"/>
        <c:spPr>
          <a:solidFill>
            <a:srgbClr val="FFD700"/>
          </a:solidFill>
          <a:ln>
            <a:noFill/>
          </a:ln>
          <a:effectLst/>
        </c:spPr>
      </c:pivotFmt>
      <c:pivotFmt>
        <c:idx val="657"/>
        <c:spPr>
          <a:solidFill>
            <a:srgbClr val="FFD700"/>
          </a:solidFill>
          <a:ln>
            <a:noFill/>
          </a:ln>
          <a:effectLst/>
        </c:spPr>
      </c:pivotFmt>
      <c:pivotFmt>
        <c:idx val="658"/>
        <c:spPr>
          <a:solidFill>
            <a:srgbClr val="FFD700"/>
          </a:solidFill>
          <a:ln>
            <a:noFill/>
          </a:ln>
          <a:effectLst/>
        </c:spPr>
      </c:pivotFmt>
      <c:pivotFmt>
        <c:idx val="659"/>
        <c:spPr>
          <a:solidFill>
            <a:srgbClr val="00B050"/>
          </a:solidFill>
          <a:ln>
            <a:noFill/>
          </a:ln>
          <a:effectLst/>
        </c:spPr>
      </c:pivotFmt>
      <c:pivotFmt>
        <c:idx val="660"/>
        <c:spPr>
          <a:solidFill>
            <a:srgbClr val="00B050"/>
          </a:solidFill>
          <a:ln>
            <a:noFill/>
          </a:ln>
          <a:effectLst/>
        </c:spPr>
      </c:pivotFmt>
      <c:pivotFmt>
        <c:idx val="661"/>
        <c:spPr>
          <a:solidFill>
            <a:srgbClr val="00B050"/>
          </a:solidFill>
          <a:ln>
            <a:noFill/>
          </a:ln>
          <a:effectLst/>
        </c:spPr>
      </c:pivotFmt>
      <c:pivotFmt>
        <c:idx val="662"/>
        <c:spPr>
          <a:solidFill>
            <a:srgbClr val="00B050"/>
          </a:solidFill>
          <a:ln>
            <a:noFill/>
          </a:ln>
          <a:effectLst/>
        </c:spPr>
      </c:pivotFmt>
      <c:pivotFmt>
        <c:idx val="663"/>
        <c:spPr>
          <a:solidFill>
            <a:srgbClr val="00B050"/>
          </a:solidFill>
          <a:ln>
            <a:noFill/>
          </a:ln>
          <a:effectLst/>
        </c:spPr>
      </c:pivotFmt>
      <c:pivotFmt>
        <c:idx val="664"/>
        <c:spPr>
          <a:solidFill>
            <a:srgbClr val="00B050"/>
          </a:solidFill>
          <a:ln>
            <a:noFill/>
          </a:ln>
          <a:effectLst/>
        </c:spPr>
      </c:pivotFmt>
      <c:pivotFmt>
        <c:idx val="665"/>
        <c:spPr>
          <a:solidFill>
            <a:srgbClr val="00B050"/>
          </a:solidFill>
          <a:ln>
            <a:noFill/>
          </a:ln>
          <a:effectLst/>
        </c:spPr>
      </c:pivotFmt>
      <c:pivotFmt>
        <c:idx val="666"/>
        <c:spPr>
          <a:solidFill>
            <a:srgbClr val="00B050"/>
          </a:solidFill>
          <a:ln>
            <a:noFill/>
          </a:ln>
          <a:effectLst/>
        </c:spPr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rgbClr val="FFD700"/>
          </a:solidFill>
          <a:ln>
            <a:noFill/>
          </a:ln>
          <a:effectLst/>
        </c:spPr>
      </c:pivotFmt>
      <c:pivotFmt>
        <c:idx val="669"/>
        <c:spPr>
          <a:solidFill>
            <a:srgbClr val="FFD700"/>
          </a:solidFill>
          <a:ln>
            <a:noFill/>
          </a:ln>
          <a:effectLst/>
        </c:spPr>
      </c:pivotFmt>
      <c:pivotFmt>
        <c:idx val="670"/>
        <c:spPr>
          <a:solidFill>
            <a:srgbClr val="FFD700"/>
          </a:solidFill>
          <a:ln>
            <a:noFill/>
          </a:ln>
          <a:effectLst/>
        </c:spPr>
      </c:pivotFmt>
      <c:pivotFmt>
        <c:idx val="671"/>
        <c:spPr>
          <a:solidFill>
            <a:srgbClr val="FFD700"/>
          </a:solidFill>
          <a:ln>
            <a:noFill/>
          </a:ln>
          <a:effectLst/>
        </c:spPr>
      </c:pivotFmt>
      <c:pivotFmt>
        <c:idx val="672"/>
        <c:spPr>
          <a:solidFill>
            <a:srgbClr val="FFD700"/>
          </a:solidFill>
          <a:ln>
            <a:noFill/>
          </a:ln>
          <a:effectLst/>
        </c:spPr>
      </c:pivotFmt>
      <c:pivotFmt>
        <c:idx val="673"/>
        <c:spPr>
          <a:solidFill>
            <a:srgbClr val="00B050"/>
          </a:solidFill>
          <a:ln>
            <a:noFill/>
          </a:ln>
          <a:effectLst/>
        </c:spPr>
      </c:pivotFmt>
      <c:pivotFmt>
        <c:idx val="674"/>
        <c:spPr>
          <a:solidFill>
            <a:srgbClr val="00B050"/>
          </a:solidFill>
          <a:ln>
            <a:noFill/>
          </a:ln>
          <a:effectLst/>
        </c:spPr>
      </c:pivotFmt>
      <c:pivotFmt>
        <c:idx val="675"/>
        <c:spPr>
          <a:solidFill>
            <a:srgbClr val="00B050"/>
          </a:solidFill>
          <a:ln>
            <a:noFill/>
          </a:ln>
          <a:effectLst/>
        </c:spPr>
      </c:pivotFmt>
      <c:pivotFmt>
        <c:idx val="676"/>
        <c:spPr>
          <a:solidFill>
            <a:srgbClr val="00B050"/>
          </a:solidFill>
          <a:ln>
            <a:noFill/>
          </a:ln>
          <a:effectLst/>
        </c:spPr>
      </c:pivotFmt>
      <c:pivotFmt>
        <c:idx val="677"/>
        <c:spPr>
          <a:solidFill>
            <a:srgbClr val="00B050"/>
          </a:solidFill>
          <a:ln>
            <a:noFill/>
          </a:ln>
          <a:effectLst/>
        </c:spPr>
      </c:pivotFmt>
      <c:pivotFmt>
        <c:idx val="678"/>
        <c:spPr>
          <a:solidFill>
            <a:srgbClr val="00B050"/>
          </a:solidFill>
          <a:ln>
            <a:noFill/>
          </a:ln>
          <a:effectLst/>
        </c:spPr>
      </c:pivotFmt>
      <c:pivotFmt>
        <c:idx val="679"/>
        <c:spPr>
          <a:solidFill>
            <a:srgbClr val="00B050"/>
          </a:solidFill>
          <a:ln>
            <a:noFill/>
          </a:ln>
          <a:effectLst/>
        </c:spPr>
      </c:pivotFmt>
      <c:pivotFmt>
        <c:idx val="680"/>
        <c:spPr>
          <a:solidFill>
            <a:srgbClr val="00B050"/>
          </a:solidFill>
          <a:ln>
            <a:noFill/>
          </a:ln>
          <a:effectLst/>
        </c:spPr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rgbClr val="FFD700"/>
          </a:solidFill>
          <a:ln>
            <a:noFill/>
          </a:ln>
          <a:effectLst/>
        </c:spPr>
      </c:pivotFmt>
      <c:pivotFmt>
        <c:idx val="683"/>
        <c:spPr>
          <a:solidFill>
            <a:srgbClr val="FFD700"/>
          </a:solidFill>
          <a:ln>
            <a:noFill/>
          </a:ln>
          <a:effectLst/>
        </c:spPr>
      </c:pivotFmt>
      <c:pivotFmt>
        <c:idx val="684"/>
        <c:spPr>
          <a:solidFill>
            <a:srgbClr val="FFD700"/>
          </a:solidFill>
          <a:ln>
            <a:noFill/>
          </a:ln>
          <a:effectLst/>
        </c:spPr>
      </c:pivotFmt>
      <c:pivotFmt>
        <c:idx val="685"/>
        <c:spPr>
          <a:solidFill>
            <a:srgbClr val="FFD700"/>
          </a:solidFill>
          <a:ln>
            <a:noFill/>
          </a:ln>
          <a:effectLst/>
        </c:spPr>
      </c:pivotFmt>
      <c:pivotFmt>
        <c:idx val="686"/>
        <c:spPr>
          <a:solidFill>
            <a:srgbClr val="FFD700"/>
          </a:solidFill>
          <a:ln>
            <a:noFill/>
          </a:ln>
          <a:effectLst/>
        </c:spPr>
      </c:pivotFmt>
      <c:pivotFmt>
        <c:idx val="687"/>
        <c:spPr>
          <a:solidFill>
            <a:srgbClr val="00B050"/>
          </a:solidFill>
          <a:ln>
            <a:noFill/>
          </a:ln>
          <a:effectLst/>
        </c:spPr>
      </c:pivotFmt>
      <c:pivotFmt>
        <c:idx val="688"/>
        <c:spPr>
          <a:solidFill>
            <a:srgbClr val="00B050"/>
          </a:solidFill>
          <a:ln>
            <a:noFill/>
          </a:ln>
          <a:effectLst/>
        </c:spPr>
      </c:pivotFmt>
      <c:pivotFmt>
        <c:idx val="689"/>
        <c:spPr>
          <a:solidFill>
            <a:srgbClr val="00B050"/>
          </a:solidFill>
          <a:ln>
            <a:noFill/>
          </a:ln>
          <a:effectLst/>
        </c:spPr>
      </c:pivotFmt>
      <c:pivotFmt>
        <c:idx val="690"/>
        <c:spPr>
          <a:solidFill>
            <a:srgbClr val="00B050"/>
          </a:solidFill>
          <a:ln>
            <a:noFill/>
          </a:ln>
          <a:effectLst/>
        </c:spPr>
      </c:pivotFmt>
      <c:pivotFmt>
        <c:idx val="691"/>
        <c:spPr>
          <a:solidFill>
            <a:srgbClr val="00B050"/>
          </a:solidFill>
          <a:ln>
            <a:noFill/>
          </a:ln>
          <a:effectLst/>
        </c:spPr>
      </c:pivotFmt>
      <c:pivotFmt>
        <c:idx val="692"/>
        <c:spPr>
          <a:solidFill>
            <a:srgbClr val="00B050"/>
          </a:solidFill>
          <a:ln>
            <a:noFill/>
          </a:ln>
          <a:effectLst/>
        </c:spPr>
      </c:pivotFmt>
      <c:pivotFmt>
        <c:idx val="693"/>
        <c:spPr>
          <a:solidFill>
            <a:srgbClr val="00B050"/>
          </a:solidFill>
          <a:ln>
            <a:noFill/>
          </a:ln>
          <a:effectLst/>
        </c:spPr>
      </c:pivotFmt>
      <c:pivotFmt>
        <c:idx val="694"/>
        <c:spPr>
          <a:solidFill>
            <a:srgbClr val="00B050"/>
          </a:solidFill>
          <a:ln>
            <a:noFill/>
          </a:ln>
          <a:effectLst/>
        </c:spPr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rgbClr val="FFD700"/>
          </a:solidFill>
          <a:ln>
            <a:noFill/>
          </a:ln>
          <a:effectLst/>
        </c:spPr>
      </c:pivotFmt>
      <c:pivotFmt>
        <c:idx val="697"/>
        <c:spPr>
          <a:solidFill>
            <a:srgbClr val="FFD700"/>
          </a:solidFill>
          <a:ln>
            <a:noFill/>
          </a:ln>
          <a:effectLst/>
        </c:spPr>
      </c:pivotFmt>
      <c:pivotFmt>
        <c:idx val="698"/>
        <c:spPr>
          <a:solidFill>
            <a:srgbClr val="FFD700"/>
          </a:solidFill>
          <a:ln>
            <a:noFill/>
          </a:ln>
          <a:effectLst/>
        </c:spPr>
      </c:pivotFmt>
      <c:pivotFmt>
        <c:idx val="699"/>
        <c:spPr>
          <a:solidFill>
            <a:srgbClr val="FFD700"/>
          </a:solidFill>
          <a:ln>
            <a:noFill/>
          </a:ln>
          <a:effectLst/>
        </c:spPr>
      </c:pivotFmt>
      <c:pivotFmt>
        <c:idx val="700"/>
        <c:spPr>
          <a:solidFill>
            <a:srgbClr val="FFD700"/>
          </a:solidFill>
          <a:ln>
            <a:noFill/>
          </a:ln>
          <a:effectLst/>
        </c:spPr>
      </c:pivotFmt>
      <c:pivotFmt>
        <c:idx val="701"/>
        <c:spPr>
          <a:solidFill>
            <a:srgbClr val="00B050"/>
          </a:solidFill>
          <a:ln>
            <a:noFill/>
          </a:ln>
          <a:effectLst/>
        </c:spPr>
      </c:pivotFmt>
      <c:pivotFmt>
        <c:idx val="702"/>
        <c:spPr>
          <a:solidFill>
            <a:srgbClr val="00B050"/>
          </a:solidFill>
          <a:ln>
            <a:noFill/>
          </a:ln>
          <a:effectLst/>
        </c:spPr>
      </c:pivotFmt>
      <c:pivotFmt>
        <c:idx val="703"/>
        <c:spPr>
          <a:solidFill>
            <a:srgbClr val="00B050"/>
          </a:solidFill>
          <a:ln>
            <a:noFill/>
          </a:ln>
          <a:effectLst/>
        </c:spPr>
      </c:pivotFmt>
      <c:pivotFmt>
        <c:idx val="704"/>
        <c:spPr>
          <a:solidFill>
            <a:srgbClr val="00B050"/>
          </a:solidFill>
          <a:ln>
            <a:noFill/>
          </a:ln>
          <a:effectLst/>
        </c:spPr>
      </c:pivotFmt>
      <c:pivotFmt>
        <c:idx val="705"/>
        <c:spPr>
          <a:solidFill>
            <a:srgbClr val="00B050"/>
          </a:solidFill>
          <a:ln>
            <a:noFill/>
          </a:ln>
          <a:effectLst/>
        </c:spPr>
      </c:pivotFmt>
      <c:pivotFmt>
        <c:idx val="706"/>
        <c:spPr>
          <a:solidFill>
            <a:srgbClr val="00B050"/>
          </a:solidFill>
          <a:ln>
            <a:noFill/>
          </a:ln>
          <a:effectLst/>
        </c:spPr>
      </c:pivotFmt>
      <c:pivotFmt>
        <c:idx val="707"/>
        <c:spPr>
          <a:solidFill>
            <a:srgbClr val="00B050"/>
          </a:solidFill>
          <a:ln>
            <a:noFill/>
          </a:ln>
          <a:effectLst/>
        </c:spPr>
      </c:pivotFmt>
      <c:pivotFmt>
        <c:idx val="708"/>
        <c:spPr>
          <a:solidFill>
            <a:srgbClr val="00B050"/>
          </a:solidFill>
          <a:ln>
            <a:noFill/>
          </a:ln>
          <a:effectLst/>
        </c:spPr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rgbClr val="FFD700"/>
          </a:solidFill>
          <a:ln>
            <a:noFill/>
          </a:ln>
          <a:effectLst/>
        </c:spPr>
      </c:pivotFmt>
      <c:pivotFmt>
        <c:idx val="711"/>
        <c:spPr>
          <a:solidFill>
            <a:srgbClr val="FFD700"/>
          </a:solidFill>
          <a:ln>
            <a:noFill/>
          </a:ln>
          <a:effectLst/>
        </c:spPr>
      </c:pivotFmt>
      <c:pivotFmt>
        <c:idx val="712"/>
        <c:spPr>
          <a:solidFill>
            <a:srgbClr val="FFD700"/>
          </a:solidFill>
          <a:ln>
            <a:noFill/>
          </a:ln>
          <a:effectLst/>
        </c:spPr>
      </c:pivotFmt>
      <c:pivotFmt>
        <c:idx val="713"/>
        <c:spPr>
          <a:solidFill>
            <a:srgbClr val="FFD700"/>
          </a:solidFill>
          <a:ln>
            <a:noFill/>
          </a:ln>
          <a:effectLst/>
        </c:spPr>
      </c:pivotFmt>
      <c:pivotFmt>
        <c:idx val="714"/>
        <c:spPr>
          <a:solidFill>
            <a:srgbClr val="FFD700"/>
          </a:solidFill>
          <a:ln>
            <a:noFill/>
          </a:ln>
          <a:effectLst/>
        </c:spPr>
      </c:pivotFmt>
      <c:pivotFmt>
        <c:idx val="715"/>
        <c:spPr>
          <a:solidFill>
            <a:srgbClr val="00B050"/>
          </a:solidFill>
          <a:ln>
            <a:noFill/>
          </a:ln>
          <a:effectLst/>
        </c:spPr>
      </c:pivotFmt>
      <c:pivotFmt>
        <c:idx val="716"/>
        <c:spPr>
          <a:solidFill>
            <a:srgbClr val="00B050"/>
          </a:solidFill>
          <a:ln>
            <a:noFill/>
          </a:ln>
          <a:effectLst/>
        </c:spPr>
      </c:pivotFmt>
      <c:pivotFmt>
        <c:idx val="717"/>
        <c:spPr>
          <a:solidFill>
            <a:srgbClr val="00B050"/>
          </a:solidFill>
          <a:ln>
            <a:noFill/>
          </a:ln>
          <a:effectLst/>
        </c:spPr>
      </c:pivotFmt>
      <c:pivotFmt>
        <c:idx val="718"/>
        <c:spPr>
          <a:solidFill>
            <a:srgbClr val="00B050"/>
          </a:solidFill>
          <a:ln>
            <a:noFill/>
          </a:ln>
          <a:effectLst/>
        </c:spPr>
      </c:pivotFmt>
      <c:pivotFmt>
        <c:idx val="719"/>
        <c:spPr>
          <a:solidFill>
            <a:srgbClr val="00B050"/>
          </a:solidFill>
          <a:ln>
            <a:noFill/>
          </a:ln>
          <a:effectLst/>
        </c:spPr>
      </c:pivotFmt>
      <c:pivotFmt>
        <c:idx val="720"/>
        <c:spPr>
          <a:solidFill>
            <a:srgbClr val="00B050"/>
          </a:solidFill>
          <a:ln>
            <a:noFill/>
          </a:ln>
          <a:effectLst/>
        </c:spPr>
      </c:pivotFmt>
      <c:pivotFmt>
        <c:idx val="721"/>
        <c:spPr>
          <a:solidFill>
            <a:srgbClr val="00B050"/>
          </a:solidFill>
          <a:ln>
            <a:noFill/>
          </a:ln>
          <a:effectLst/>
        </c:spPr>
      </c:pivotFmt>
      <c:pivotFmt>
        <c:idx val="722"/>
        <c:spPr>
          <a:solidFill>
            <a:srgbClr val="00B050"/>
          </a:solidFill>
          <a:ln>
            <a:noFill/>
          </a:ln>
          <a:effectLst/>
        </c:spPr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rgbClr val="FFD700"/>
          </a:solidFill>
          <a:ln>
            <a:noFill/>
          </a:ln>
          <a:effectLst/>
        </c:spPr>
      </c:pivotFmt>
      <c:pivotFmt>
        <c:idx val="725"/>
        <c:spPr>
          <a:solidFill>
            <a:srgbClr val="FFD700"/>
          </a:solidFill>
          <a:ln>
            <a:noFill/>
          </a:ln>
          <a:effectLst/>
        </c:spPr>
      </c:pivotFmt>
      <c:pivotFmt>
        <c:idx val="726"/>
        <c:spPr>
          <a:solidFill>
            <a:srgbClr val="FFD700"/>
          </a:solidFill>
          <a:ln>
            <a:noFill/>
          </a:ln>
          <a:effectLst/>
        </c:spPr>
      </c:pivotFmt>
      <c:pivotFmt>
        <c:idx val="727"/>
        <c:spPr>
          <a:solidFill>
            <a:srgbClr val="FFD700"/>
          </a:solidFill>
          <a:ln>
            <a:noFill/>
          </a:ln>
          <a:effectLst/>
        </c:spPr>
      </c:pivotFmt>
      <c:pivotFmt>
        <c:idx val="728"/>
        <c:spPr>
          <a:solidFill>
            <a:srgbClr val="FFD700"/>
          </a:solidFill>
          <a:ln>
            <a:noFill/>
          </a:ln>
          <a:effectLst/>
        </c:spPr>
      </c:pivotFmt>
      <c:pivotFmt>
        <c:idx val="729"/>
        <c:spPr>
          <a:solidFill>
            <a:srgbClr val="00B050"/>
          </a:solidFill>
          <a:ln>
            <a:noFill/>
          </a:ln>
          <a:effectLst/>
        </c:spPr>
      </c:pivotFmt>
      <c:pivotFmt>
        <c:idx val="730"/>
        <c:spPr>
          <a:solidFill>
            <a:srgbClr val="00B050"/>
          </a:solidFill>
          <a:ln>
            <a:noFill/>
          </a:ln>
          <a:effectLst/>
        </c:spPr>
      </c:pivotFmt>
      <c:pivotFmt>
        <c:idx val="731"/>
        <c:spPr>
          <a:solidFill>
            <a:srgbClr val="00B050"/>
          </a:solidFill>
          <a:ln>
            <a:noFill/>
          </a:ln>
          <a:effectLst/>
        </c:spPr>
      </c:pivotFmt>
      <c:pivotFmt>
        <c:idx val="732"/>
        <c:spPr>
          <a:solidFill>
            <a:srgbClr val="00B050"/>
          </a:solidFill>
          <a:ln>
            <a:noFill/>
          </a:ln>
          <a:effectLst/>
        </c:spPr>
      </c:pivotFmt>
      <c:pivotFmt>
        <c:idx val="733"/>
        <c:spPr>
          <a:solidFill>
            <a:srgbClr val="00B050"/>
          </a:solidFill>
          <a:ln>
            <a:noFill/>
          </a:ln>
          <a:effectLst/>
        </c:spPr>
      </c:pivotFmt>
      <c:pivotFmt>
        <c:idx val="734"/>
        <c:spPr>
          <a:solidFill>
            <a:srgbClr val="00B050"/>
          </a:solidFill>
          <a:ln>
            <a:noFill/>
          </a:ln>
          <a:effectLst/>
        </c:spPr>
      </c:pivotFmt>
      <c:pivotFmt>
        <c:idx val="735"/>
        <c:spPr>
          <a:solidFill>
            <a:srgbClr val="00B050"/>
          </a:solidFill>
          <a:ln>
            <a:noFill/>
          </a:ln>
          <a:effectLst/>
        </c:spPr>
      </c:pivotFmt>
      <c:pivotFmt>
        <c:idx val="736"/>
        <c:spPr>
          <a:solidFill>
            <a:srgbClr val="00B050"/>
          </a:solidFill>
          <a:ln>
            <a:noFill/>
          </a:ln>
          <a:effectLst/>
        </c:spPr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rgbClr val="FFD700"/>
          </a:solidFill>
          <a:ln>
            <a:noFill/>
          </a:ln>
          <a:effectLst/>
        </c:spPr>
      </c:pivotFmt>
      <c:pivotFmt>
        <c:idx val="739"/>
        <c:spPr>
          <a:solidFill>
            <a:srgbClr val="FFD700"/>
          </a:solidFill>
          <a:ln>
            <a:noFill/>
          </a:ln>
          <a:effectLst/>
        </c:spPr>
      </c:pivotFmt>
      <c:pivotFmt>
        <c:idx val="740"/>
        <c:spPr>
          <a:solidFill>
            <a:srgbClr val="FFD700"/>
          </a:solidFill>
          <a:ln>
            <a:noFill/>
          </a:ln>
          <a:effectLst/>
        </c:spPr>
      </c:pivotFmt>
      <c:pivotFmt>
        <c:idx val="741"/>
        <c:spPr>
          <a:solidFill>
            <a:srgbClr val="FFD700"/>
          </a:solidFill>
          <a:ln>
            <a:noFill/>
          </a:ln>
          <a:effectLst/>
        </c:spPr>
      </c:pivotFmt>
      <c:pivotFmt>
        <c:idx val="742"/>
        <c:spPr>
          <a:solidFill>
            <a:srgbClr val="FFD700"/>
          </a:solidFill>
          <a:ln>
            <a:noFill/>
          </a:ln>
          <a:effectLst/>
        </c:spPr>
      </c:pivotFmt>
      <c:pivotFmt>
        <c:idx val="743"/>
        <c:spPr>
          <a:solidFill>
            <a:srgbClr val="00B050"/>
          </a:solidFill>
          <a:ln>
            <a:noFill/>
          </a:ln>
          <a:effectLst/>
        </c:spPr>
      </c:pivotFmt>
      <c:pivotFmt>
        <c:idx val="744"/>
        <c:spPr>
          <a:solidFill>
            <a:srgbClr val="00B050"/>
          </a:solidFill>
          <a:ln>
            <a:noFill/>
          </a:ln>
          <a:effectLst/>
        </c:spPr>
      </c:pivotFmt>
      <c:pivotFmt>
        <c:idx val="745"/>
        <c:spPr>
          <a:solidFill>
            <a:srgbClr val="00B050"/>
          </a:solidFill>
          <a:ln>
            <a:noFill/>
          </a:ln>
          <a:effectLst/>
        </c:spPr>
      </c:pivotFmt>
      <c:pivotFmt>
        <c:idx val="746"/>
        <c:spPr>
          <a:solidFill>
            <a:srgbClr val="00B050"/>
          </a:solidFill>
          <a:ln>
            <a:noFill/>
          </a:ln>
          <a:effectLst/>
        </c:spPr>
      </c:pivotFmt>
      <c:pivotFmt>
        <c:idx val="747"/>
        <c:spPr>
          <a:solidFill>
            <a:srgbClr val="00B050"/>
          </a:solidFill>
          <a:ln>
            <a:noFill/>
          </a:ln>
          <a:effectLst/>
        </c:spPr>
      </c:pivotFmt>
      <c:pivotFmt>
        <c:idx val="748"/>
        <c:spPr>
          <a:solidFill>
            <a:srgbClr val="00B050"/>
          </a:solidFill>
          <a:ln>
            <a:noFill/>
          </a:ln>
          <a:effectLst/>
        </c:spPr>
      </c:pivotFmt>
      <c:pivotFmt>
        <c:idx val="749"/>
        <c:spPr>
          <a:solidFill>
            <a:srgbClr val="00B050"/>
          </a:solidFill>
          <a:ln>
            <a:noFill/>
          </a:ln>
          <a:effectLst/>
        </c:spPr>
      </c:pivotFmt>
      <c:pivotFmt>
        <c:idx val="750"/>
        <c:spPr>
          <a:solidFill>
            <a:srgbClr val="00B050"/>
          </a:solidFill>
          <a:ln>
            <a:noFill/>
          </a:ln>
          <a:effectLst/>
        </c:spPr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rgbClr val="FFD700"/>
          </a:solidFill>
          <a:ln>
            <a:noFill/>
          </a:ln>
          <a:effectLst/>
        </c:spPr>
      </c:pivotFmt>
      <c:pivotFmt>
        <c:idx val="753"/>
        <c:spPr>
          <a:solidFill>
            <a:srgbClr val="FFD700"/>
          </a:solidFill>
          <a:ln>
            <a:noFill/>
          </a:ln>
          <a:effectLst/>
        </c:spPr>
      </c:pivotFmt>
      <c:pivotFmt>
        <c:idx val="754"/>
        <c:spPr>
          <a:solidFill>
            <a:srgbClr val="FFD700"/>
          </a:solidFill>
          <a:ln>
            <a:noFill/>
          </a:ln>
          <a:effectLst/>
        </c:spPr>
      </c:pivotFmt>
      <c:pivotFmt>
        <c:idx val="755"/>
        <c:spPr>
          <a:solidFill>
            <a:srgbClr val="FFD700"/>
          </a:solidFill>
          <a:ln>
            <a:noFill/>
          </a:ln>
          <a:effectLst/>
        </c:spPr>
      </c:pivotFmt>
      <c:pivotFmt>
        <c:idx val="756"/>
        <c:spPr>
          <a:solidFill>
            <a:srgbClr val="FFD700"/>
          </a:solidFill>
          <a:ln>
            <a:noFill/>
          </a:ln>
          <a:effectLst/>
        </c:spPr>
      </c:pivotFmt>
      <c:pivotFmt>
        <c:idx val="757"/>
        <c:spPr>
          <a:solidFill>
            <a:srgbClr val="00B050"/>
          </a:solidFill>
          <a:ln>
            <a:noFill/>
          </a:ln>
          <a:effectLst/>
        </c:spPr>
      </c:pivotFmt>
      <c:pivotFmt>
        <c:idx val="758"/>
        <c:spPr>
          <a:solidFill>
            <a:srgbClr val="00B050"/>
          </a:solidFill>
          <a:ln>
            <a:noFill/>
          </a:ln>
          <a:effectLst/>
        </c:spPr>
      </c:pivotFmt>
      <c:pivotFmt>
        <c:idx val="759"/>
        <c:spPr>
          <a:solidFill>
            <a:srgbClr val="00B050"/>
          </a:solidFill>
          <a:ln>
            <a:noFill/>
          </a:ln>
          <a:effectLst/>
        </c:spPr>
      </c:pivotFmt>
      <c:pivotFmt>
        <c:idx val="760"/>
        <c:spPr>
          <a:solidFill>
            <a:srgbClr val="00B050"/>
          </a:solidFill>
          <a:ln>
            <a:noFill/>
          </a:ln>
          <a:effectLst/>
        </c:spPr>
      </c:pivotFmt>
      <c:pivotFmt>
        <c:idx val="761"/>
        <c:spPr>
          <a:solidFill>
            <a:srgbClr val="00B050"/>
          </a:solidFill>
          <a:ln>
            <a:noFill/>
          </a:ln>
          <a:effectLst/>
        </c:spPr>
      </c:pivotFmt>
      <c:pivotFmt>
        <c:idx val="762"/>
        <c:spPr>
          <a:solidFill>
            <a:srgbClr val="00B050"/>
          </a:solidFill>
          <a:ln>
            <a:noFill/>
          </a:ln>
          <a:effectLst/>
        </c:spPr>
      </c:pivotFmt>
      <c:pivotFmt>
        <c:idx val="763"/>
        <c:spPr>
          <a:solidFill>
            <a:srgbClr val="00B050"/>
          </a:solidFill>
          <a:ln>
            <a:noFill/>
          </a:ln>
          <a:effectLst/>
        </c:spPr>
      </c:pivotFmt>
      <c:pivotFmt>
        <c:idx val="764"/>
        <c:spPr>
          <a:solidFill>
            <a:srgbClr val="00B050"/>
          </a:solidFill>
          <a:ln>
            <a:noFill/>
          </a:ln>
          <a:effectLst/>
        </c:spPr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rgbClr val="FFD700"/>
          </a:solidFill>
          <a:ln>
            <a:noFill/>
          </a:ln>
          <a:effectLst/>
        </c:spPr>
      </c:pivotFmt>
      <c:pivotFmt>
        <c:idx val="767"/>
        <c:spPr>
          <a:solidFill>
            <a:srgbClr val="FFD700"/>
          </a:solidFill>
          <a:ln>
            <a:noFill/>
          </a:ln>
          <a:effectLst/>
        </c:spPr>
      </c:pivotFmt>
      <c:pivotFmt>
        <c:idx val="768"/>
        <c:spPr>
          <a:solidFill>
            <a:srgbClr val="FFD700"/>
          </a:solidFill>
          <a:ln>
            <a:noFill/>
          </a:ln>
          <a:effectLst/>
        </c:spPr>
      </c:pivotFmt>
      <c:pivotFmt>
        <c:idx val="769"/>
        <c:spPr>
          <a:solidFill>
            <a:srgbClr val="FFD700"/>
          </a:solidFill>
          <a:ln>
            <a:noFill/>
          </a:ln>
          <a:effectLst/>
        </c:spPr>
      </c:pivotFmt>
      <c:pivotFmt>
        <c:idx val="770"/>
        <c:spPr>
          <a:solidFill>
            <a:srgbClr val="FFD700"/>
          </a:solidFill>
          <a:ln>
            <a:noFill/>
          </a:ln>
          <a:effectLst/>
        </c:spPr>
      </c:pivotFmt>
      <c:pivotFmt>
        <c:idx val="771"/>
        <c:spPr>
          <a:solidFill>
            <a:srgbClr val="FFD700"/>
          </a:solidFill>
          <a:ln>
            <a:noFill/>
          </a:ln>
          <a:effectLst/>
        </c:spPr>
      </c:pivotFmt>
      <c:pivotFmt>
        <c:idx val="772"/>
        <c:spPr>
          <a:solidFill>
            <a:srgbClr val="00B050"/>
          </a:solidFill>
          <a:ln>
            <a:noFill/>
          </a:ln>
          <a:effectLst/>
        </c:spPr>
      </c:pivotFmt>
      <c:pivotFmt>
        <c:idx val="773"/>
        <c:spPr>
          <a:solidFill>
            <a:srgbClr val="00B050"/>
          </a:solidFill>
          <a:ln>
            <a:noFill/>
          </a:ln>
          <a:effectLst/>
        </c:spPr>
      </c:pivotFmt>
      <c:pivotFmt>
        <c:idx val="774"/>
        <c:spPr>
          <a:solidFill>
            <a:srgbClr val="00B050"/>
          </a:solidFill>
          <a:ln>
            <a:noFill/>
          </a:ln>
          <a:effectLst/>
        </c:spPr>
      </c:pivotFmt>
      <c:pivotFmt>
        <c:idx val="775"/>
        <c:spPr>
          <a:solidFill>
            <a:srgbClr val="00B050"/>
          </a:solidFill>
          <a:ln>
            <a:noFill/>
          </a:ln>
          <a:effectLst/>
        </c:spPr>
      </c:pivotFmt>
      <c:pivotFmt>
        <c:idx val="776"/>
        <c:spPr>
          <a:solidFill>
            <a:srgbClr val="00B050"/>
          </a:solidFill>
          <a:ln>
            <a:noFill/>
          </a:ln>
          <a:effectLst/>
        </c:spPr>
      </c:pivotFmt>
      <c:pivotFmt>
        <c:idx val="777"/>
        <c:spPr>
          <a:solidFill>
            <a:srgbClr val="00B050"/>
          </a:solidFill>
          <a:ln>
            <a:noFill/>
          </a:ln>
          <a:effectLst/>
        </c:spPr>
      </c:pivotFmt>
      <c:pivotFmt>
        <c:idx val="778"/>
        <c:spPr>
          <a:solidFill>
            <a:srgbClr val="00B050"/>
          </a:solidFill>
          <a:ln>
            <a:noFill/>
          </a:ln>
          <a:effectLst/>
        </c:spPr>
      </c:pivotFmt>
      <c:pivotFmt>
        <c:idx val="779"/>
        <c:spPr>
          <a:solidFill>
            <a:srgbClr val="00B050"/>
          </a:solidFill>
          <a:ln>
            <a:noFill/>
          </a:ln>
          <a:effectLst/>
        </c:spPr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rgbClr val="FFD700"/>
          </a:solidFill>
          <a:ln>
            <a:noFill/>
          </a:ln>
          <a:effectLst/>
        </c:spPr>
      </c:pivotFmt>
      <c:pivotFmt>
        <c:idx val="782"/>
        <c:spPr>
          <a:solidFill>
            <a:srgbClr val="FFD700"/>
          </a:solidFill>
          <a:ln>
            <a:noFill/>
          </a:ln>
          <a:effectLst/>
        </c:spPr>
      </c:pivotFmt>
      <c:pivotFmt>
        <c:idx val="783"/>
        <c:spPr>
          <a:solidFill>
            <a:srgbClr val="FFD700"/>
          </a:solidFill>
          <a:ln>
            <a:noFill/>
          </a:ln>
          <a:effectLst/>
        </c:spPr>
      </c:pivotFmt>
      <c:pivotFmt>
        <c:idx val="784"/>
        <c:spPr>
          <a:solidFill>
            <a:srgbClr val="FFD700"/>
          </a:solidFill>
          <a:ln>
            <a:noFill/>
          </a:ln>
          <a:effectLst/>
        </c:spPr>
      </c:pivotFmt>
      <c:pivotFmt>
        <c:idx val="785"/>
        <c:spPr>
          <a:solidFill>
            <a:srgbClr val="FFD700"/>
          </a:solidFill>
          <a:ln>
            <a:noFill/>
          </a:ln>
          <a:effectLst/>
        </c:spPr>
      </c:pivotFmt>
      <c:pivotFmt>
        <c:idx val="786"/>
        <c:spPr>
          <a:solidFill>
            <a:srgbClr val="FFD700"/>
          </a:solidFill>
          <a:ln>
            <a:noFill/>
          </a:ln>
          <a:effectLst/>
        </c:spPr>
      </c:pivotFmt>
      <c:pivotFmt>
        <c:idx val="787"/>
        <c:spPr>
          <a:solidFill>
            <a:srgbClr val="00B050"/>
          </a:solidFill>
          <a:ln>
            <a:noFill/>
          </a:ln>
          <a:effectLst/>
        </c:spPr>
      </c:pivotFmt>
      <c:pivotFmt>
        <c:idx val="788"/>
        <c:spPr>
          <a:solidFill>
            <a:srgbClr val="00B050"/>
          </a:solidFill>
          <a:ln>
            <a:noFill/>
          </a:ln>
          <a:effectLst/>
        </c:spPr>
      </c:pivotFmt>
      <c:pivotFmt>
        <c:idx val="789"/>
        <c:spPr>
          <a:solidFill>
            <a:srgbClr val="00B050"/>
          </a:solidFill>
          <a:ln>
            <a:noFill/>
          </a:ln>
          <a:effectLst/>
        </c:spPr>
      </c:pivotFmt>
      <c:pivotFmt>
        <c:idx val="790"/>
        <c:spPr>
          <a:solidFill>
            <a:srgbClr val="00B050"/>
          </a:solidFill>
          <a:ln>
            <a:noFill/>
          </a:ln>
          <a:effectLst/>
        </c:spPr>
      </c:pivotFmt>
      <c:pivotFmt>
        <c:idx val="791"/>
        <c:spPr>
          <a:solidFill>
            <a:srgbClr val="00B050"/>
          </a:solidFill>
          <a:ln>
            <a:noFill/>
          </a:ln>
          <a:effectLst/>
        </c:spPr>
      </c:pivotFmt>
      <c:pivotFmt>
        <c:idx val="792"/>
        <c:spPr>
          <a:solidFill>
            <a:srgbClr val="00B050"/>
          </a:solidFill>
          <a:ln>
            <a:noFill/>
          </a:ln>
          <a:effectLst/>
        </c:spPr>
      </c:pivotFmt>
      <c:pivotFmt>
        <c:idx val="793"/>
        <c:spPr>
          <a:solidFill>
            <a:srgbClr val="00B050"/>
          </a:solidFill>
          <a:ln>
            <a:noFill/>
          </a:ln>
          <a:effectLst/>
        </c:spPr>
      </c:pivotFmt>
      <c:pivotFmt>
        <c:idx val="794"/>
        <c:spPr>
          <a:solidFill>
            <a:srgbClr val="00B050"/>
          </a:solidFill>
          <a:ln>
            <a:noFill/>
          </a:ln>
          <a:effectLst/>
        </c:spPr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rgbClr val="FFD700"/>
          </a:solidFill>
          <a:ln>
            <a:noFill/>
          </a:ln>
          <a:effectLst/>
        </c:spPr>
      </c:pivotFmt>
      <c:pivotFmt>
        <c:idx val="797"/>
        <c:spPr>
          <a:solidFill>
            <a:srgbClr val="FFD700"/>
          </a:solidFill>
          <a:ln>
            <a:noFill/>
          </a:ln>
          <a:effectLst/>
        </c:spPr>
      </c:pivotFmt>
      <c:pivotFmt>
        <c:idx val="798"/>
        <c:spPr>
          <a:solidFill>
            <a:srgbClr val="FFD700"/>
          </a:solidFill>
          <a:ln>
            <a:noFill/>
          </a:ln>
          <a:effectLst/>
        </c:spPr>
      </c:pivotFmt>
      <c:pivotFmt>
        <c:idx val="799"/>
        <c:spPr>
          <a:solidFill>
            <a:srgbClr val="FFD700"/>
          </a:solidFill>
          <a:ln>
            <a:noFill/>
          </a:ln>
          <a:effectLst/>
        </c:spPr>
      </c:pivotFmt>
      <c:pivotFmt>
        <c:idx val="800"/>
        <c:spPr>
          <a:solidFill>
            <a:srgbClr val="FFD700"/>
          </a:solidFill>
          <a:ln>
            <a:noFill/>
          </a:ln>
          <a:effectLst/>
        </c:spPr>
      </c:pivotFmt>
      <c:pivotFmt>
        <c:idx val="801"/>
        <c:spPr>
          <a:solidFill>
            <a:srgbClr val="FFD700"/>
          </a:solidFill>
          <a:ln>
            <a:noFill/>
          </a:ln>
          <a:effectLst/>
        </c:spPr>
      </c:pivotFmt>
      <c:pivotFmt>
        <c:idx val="802"/>
        <c:spPr>
          <a:solidFill>
            <a:srgbClr val="00B050"/>
          </a:solidFill>
          <a:ln>
            <a:noFill/>
          </a:ln>
          <a:effectLst/>
        </c:spPr>
      </c:pivotFmt>
      <c:pivotFmt>
        <c:idx val="803"/>
        <c:spPr>
          <a:solidFill>
            <a:srgbClr val="00B050"/>
          </a:solidFill>
          <a:ln>
            <a:noFill/>
          </a:ln>
          <a:effectLst/>
        </c:spPr>
      </c:pivotFmt>
      <c:pivotFmt>
        <c:idx val="804"/>
        <c:spPr>
          <a:solidFill>
            <a:srgbClr val="00B050"/>
          </a:solidFill>
          <a:ln>
            <a:noFill/>
          </a:ln>
          <a:effectLst/>
        </c:spPr>
      </c:pivotFmt>
      <c:pivotFmt>
        <c:idx val="805"/>
        <c:spPr>
          <a:solidFill>
            <a:srgbClr val="00B050"/>
          </a:solidFill>
          <a:ln>
            <a:noFill/>
          </a:ln>
          <a:effectLst/>
        </c:spPr>
      </c:pivotFmt>
      <c:pivotFmt>
        <c:idx val="806"/>
        <c:spPr>
          <a:solidFill>
            <a:srgbClr val="00B050"/>
          </a:solidFill>
          <a:ln>
            <a:noFill/>
          </a:ln>
          <a:effectLst/>
        </c:spPr>
      </c:pivotFmt>
      <c:pivotFmt>
        <c:idx val="807"/>
        <c:spPr>
          <a:solidFill>
            <a:srgbClr val="00B050"/>
          </a:solidFill>
          <a:ln>
            <a:noFill/>
          </a:ln>
          <a:effectLst/>
        </c:spPr>
      </c:pivotFmt>
      <c:pivotFmt>
        <c:idx val="808"/>
        <c:spPr>
          <a:solidFill>
            <a:srgbClr val="00B050"/>
          </a:solidFill>
          <a:ln>
            <a:noFill/>
          </a:ln>
          <a:effectLst/>
        </c:spPr>
      </c:pivotFmt>
      <c:pivotFmt>
        <c:idx val="809"/>
        <c:spPr>
          <a:solidFill>
            <a:srgbClr val="00B050"/>
          </a:solidFill>
          <a:ln>
            <a:noFill/>
          </a:ln>
          <a:effectLst/>
        </c:spPr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rgbClr val="FFD700"/>
          </a:solidFill>
          <a:ln>
            <a:noFill/>
          </a:ln>
          <a:effectLst/>
        </c:spPr>
      </c:pivotFmt>
      <c:pivotFmt>
        <c:idx val="812"/>
        <c:spPr>
          <a:solidFill>
            <a:srgbClr val="FFD700"/>
          </a:solidFill>
          <a:ln>
            <a:noFill/>
          </a:ln>
          <a:effectLst/>
        </c:spPr>
      </c:pivotFmt>
      <c:pivotFmt>
        <c:idx val="813"/>
        <c:spPr>
          <a:solidFill>
            <a:srgbClr val="FFD700"/>
          </a:solidFill>
          <a:ln>
            <a:noFill/>
          </a:ln>
          <a:effectLst/>
        </c:spPr>
      </c:pivotFmt>
      <c:pivotFmt>
        <c:idx val="814"/>
        <c:spPr>
          <a:solidFill>
            <a:srgbClr val="FFD700"/>
          </a:solidFill>
          <a:ln>
            <a:noFill/>
          </a:ln>
          <a:effectLst/>
        </c:spPr>
      </c:pivotFmt>
      <c:pivotFmt>
        <c:idx val="815"/>
        <c:spPr>
          <a:solidFill>
            <a:srgbClr val="FFD700"/>
          </a:solidFill>
          <a:ln>
            <a:noFill/>
          </a:ln>
          <a:effectLst/>
        </c:spPr>
      </c:pivotFmt>
      <c:pivotFmt>
        <c:idx val="816"/>
        <c:spPr>
          <a:solidFill>
            <a:srgbClr val="FFD700"/>
          </a:solidFill>
          <a:ln>
            <a:noFill/>
          </a:ln>
          <a:effectLst/>
        </c:spPr>
      </c:pivotFmt>
      <c:pivotFmt>
        <c:idx val="817"/>
        <c:spPr>
          <a:solidFill>
            <a:srgbClr val="00B050"/>
          </a:solidFill>
          <a:ln>
            <a:noFill/>
          </a:ln>
          <a:effectLst/>
        </c:spPr>
      </c:pivotFmt>
      <c:pivotFmt>
        <c:idx val="818"/>
        <c:spPr>
          <a:solidFill>
            <a:srgbClr val="00B050"/>
          </a:solidFill>
          <a:ln>
            <a:noFill/>
          </a:ln>
          <a:effectLst/>
        </c:spPr>
      </c:pivotFmt>
      <c:pivotFmt>
        <c:idx val="819"/>
        <c:spPr>
          <a:solidFill>
            <a:srgbClr val="00B050"/>
          </a:solidFill>
          <a:ln>
            <a:noFill/>
          </a:ln>
          <a:effectLst/>
        </c:spPr>
      </c:pivotFmt>
      <c:pivotFmt>
        <c:idx val="820"/>
        <c:spPr>
          <a:solidFill>
            <a:srgbClr val="00B050"/>
          </a:solidFill>
          <a:ln>
            <a:noFill/>
          </a:ln>
          <a:effectLst/>
        </c:spPr>
      </c:pivotFmt>
      <c:pivotFmt>
        <c:idx val="821"/>
        <c:spPr>
          <a:solidFill>
            <a:srgbClr val="00B050"/>
          </a:solidFill>
          <a:ln>
            <a:noFill/>
          </a:ln>
          <a:effectLst/>
        </c:spPr>
      </c:pivotFmt>
      <c:pivotFmt>
        <c:idx val="822"/>
        <c:spPr>
          <a:solidFill>
            <a:srgbClr val="00B050"/>
          </a:solidFill>
          <a:ln>
            <a:noFill/>
          </a:ln>
          <a:effectLst/>
        </c:spPr>
      </c:pivotFmt>
      <c:pivotFmt>
        <c:idx val="823"/>
        <c:spPr>
          <a:solidFill>
            <a:srgbClr val="00B050"/>
          </a:solidFill>
          <a:ln>
            <a:noFill/>
          </a:ln>
          <a:effectLst/>
        </c:spPr>
      </c:pivotFmt>
      <c:pivotFmt>
        <c:idx val="824"/>
        <c:spPr>
          <a:solidFill>
            <a:srgbClr val="00B050"/>
          </a:solidFill>
          <a:ln>
            <a:noFill/>
          </a:ln>
          <a:effectLst/>
        </c:spPr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rgbClr val="FFD700"/>
          </a:solidFill>
          <a:ln>
            <a:noFill/>
          </a:ln>
          <a:effectLst/>
        </c:spPr>
      </c:pivotFmt>
      <c:pivotFmt>
        <c:idx val="827"/>
        <c:spPr>
          <a:solidFill>
            <a:srgbClr val="FFD700"/>
          </a:solidFill>
          <a:ln>
            <a:noFill/>
          </a:ln>
          <a:effectLst/>
        </c:spPr>
      </c:pivotFmt>
      <c:pivotFmt>
        <c:idx val="828"/>
        <c:spPr>
          <a:solidFill>
            <a:srgbClr val="FFD700"/>
          </a:solidFill>
          <a:ln>
            <a:noFill/>
          </a:ln>
          <a:effectLst/>
        </c:spPr>
      </c:pivotFmt>
      <c:pivotFmt>
        <c:idx val="829"/>
        <c:spPr>
          <a:solidFill>
            <a:srgbClr val="FFD700"/>
          </a:solidFill>
          <a:ln>
            <a:noFill/>
          </a:ln>
          <a:effectLst/>
        </c:spPr>
      </c:pivotFmt>
      <c:pivotFmt>
        <c:idx val="830"/>
        <c:spPr>
          <a:solidFill>
            <a:srgbClr val="FFD700"/>
          </a:solidFill>
          <a:ln>
            <a:noFill/>
          </a:ln>
          <a:effectLst/>
        </c:spPr>
      </c:pivotFmt>
      <c:pivotFmt>
        <c:idx val="831"/>
        <c:spPr>
          <a:solidFill>
            <a:srgbClr val="FFD700"/>
          </a:solidFill>
          <a:ln>
            <a:noFill/>
          </a:ln>
          <a:effectLst/>
        </c:spPr>
      </c:pivotFmt>
      <c:pivotFmt>
        <c:idx val="832"/>
        <c:spPr>
          <a:solidFill>
            <a:srgbClr val="FFD700"/>
          </a:solidFill>
          <a:ln>
            <a:noFill/>
          </a:ln>
          <a:effectLst/>
        </c:spPr>
      </c:pivotFmt>
      <c:pivotFmt>
        <c:idx val="833"/>
        <c:spPr>
          <a:solidFill>
            <a:srgbClr val="00B050"/>
          </a:solidFill>
          <a:ln>
            <a:noFill/>
          </a:ln>
          <a:effectLst/>
        </c:spPr>
      </c:pivotFmt>
      <c:pivotFmt>
        <c:idx val="834"/>
        <c:spPr>
          <a:solidFill>
            <a:srgbClr val="00B050"/>
          </a:solidFill>
          <a:ln>
            <a:noFill/>
          </a:ln>
          <a:effectLst/>
        </c:spPr>
      </c:pivotFmt>
      <c:pivotFmt>
        <c:idx val="835"/>
        <c:spPr>
          <a:solidFill>
            <a:srgbClr val="00B050"/>
          </a:solidFill>
          <a:ln>
            <a:noFill/>
          </a:ln>
          <a:effectLst/>
        </c:spPr>
      </c:pivotFmt>
      <c:pivotFmt>
        <c:idx val="836"/>
        <c:spPr>
          <a:solidFill>
            <a:srgbClr val="00B050"/>
          </a:solidFill>
          <a:ln>
            <a:noFill/>
          </a:ln>
          <a:effectLst/>
        </c:spPr>
      </c:pivotFmt>
      <c:pivotFmt>
        <c:idx val="837"/>
        <c:spPr>
          <a:solidFill>
            <a:srgbClr val="00B050"/>
          </a:solidFill>
          <a:ln>
            <a:noFill/>
          </a:ln>
          <a:effectLst/>
        </c:spPr>
      </c:pivotFmt>
      <c:pivotFmt>
        <c:idx val="838"/>
        <c:spPr>
          <a:solidFill>
            <a:srgbClr val="00B050"/>
          </a:solidFill>
          <a:ln>
            <a:noFill/>
          </a:ln>
          <a:effectLst/>
        </c:spPr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rgbClr val="FFD700"/>
          </a:solidFill>
          <a:ln>
            <a:noFill/>
          </a:ln>
          <a:effectLst/>
        </c:spPr>
      </c:pivotFmt>
      <c:pivotFmt>
        <c:idx val="841"/>
        <c:spPr>
          <a:solidFill>
            <a:srgbClr val="FFD700"/>
          </a:solidFill>
          <a:ln>
            <a:noFill/>
          </a:ln>
          <a:effectLst/>
        </c:spPr>
      </c:pivotFmt>
      <c:pivotFmt>
        <c:idx val="842"/>
        <c:spPr>
          <a:solidFill>
            <a:srgbClr val="FFD700"/>
          </a:solidFill>
          <a:ln>
            <a:noFill/>
          </a:ln>
          <a:effectLst/>
        </c:spPr>
      </c:pivotFmt>
      <c:pivotFmt>
        <c:idx val="843"/>
        <c:spPr>
          <a:solidFill>
            <a:srgbClr val="FFD700"/>
          </a:solidFill>
          <a:ln>
            <a:noFill/>
          </a:ln>
          <a:effectLst/>
        </c:spPr>
      </c:pivotFmt>
      <c:pivotFmt>
        <c:idx val="844"/>
        <c:spPr>
          <a:solidFill>
            <a:srgbClr val="FFD700"/>
          </a:solidFill>
          <a:ln>
            <a:noFill/>
          </a:ln>
          <a:effectLst/>
        </c:spPr>
      </c:pivotFmt>
      <c:pivotFmt>
        <c:idx val="845"/>
        <c:spPr>
          <a:solidFill>
            <a:srgbClr val="FFD700"/>
          </a:solidFill>
          <a:ln>
            <a:noFill/>
          </a:ln>
          <a:effectLst/>
        </c:spPr>
      </c:pivotFmt>
      <c:pivotFmt>
        <c:idx val="846"/>
        <c:spPr>
          <a:solidFill>
            <a:srgbClr val="FFD700"/>
          </a:solidFill>
          <a:ln>
            <a:noFill/>
          </a:ln>
          <a:effectLst/>
        </c:spPr>
      </c:pivotFmt>
      <c:pivotFmt>
        <c:idx val="847"/>
        <c:spPr>
          <a:solidFill>
            <a:srgbClr val="00B050"/>
          </a:solidFill>
          <a:ln>
            <a:noFill/>
          </a:ln>
          <a:effectLst/>
        </c:spPr>
      </c:pivotFmt>
      <c:pivotFmt>
        <c:idx val="848"/>
        <c:spPr>
          <a:solidFill>
            <a:srgbClr val="00B050"/>
          </a:solidFill>
          <a:ln>
            <a:noFill/>
          </a:ln>
          <a:effectLst/>
        </c:spPr>
      </c:pivotFmt>
      <c:pivotFmt>
        <c:idx val="849"/>
        <c:spPr>
          <a:solidFill>
            <a:srgbClr val="00B050"/>
          </a:solidFill>
          <a:ln>
            <a:noFill/>
          </a:ln>
          <a:effectLst/>
        </c:spPr>
      </c:pivotFmt>
      <c:pivotFmt>
        <c:idx val="850"/>
        <c:spPr>
          <a:solidFill>
            <a:srgbClr val="00B050"/>
          </a:solidFill>
          <a:ln>
            <a:noFill/>
          </a:ln>
          <a:effectLst/>
        </c:spPr>
      </c:pivotFmt>
      <c:pivotFmt>
        <c:idx val="851"/>
        <c:spPr>
          <a:solidFill>
            <a:srgbClr val="00B050"/>
          </a:solidFill>
          <a:ln>
            <a:noFill/>
          </a:ln>
          <a:effectLst/>
        </c:spPr>
      </c:pivotFmt>
      <c:pivotFmt>
        <c:idx val="852"/>
        <c:spPr>
          <a:solidFill>
            <a:srgbClr val="00B050"/>
          </a:solidFill>
          <a:ln>
            <a:noFill/>
          </a:ln>
          <a:effectLst/>
        </c:spPr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rgbClr val="00B050"/>
          </a:solidFill>
          <a:ln>
            <a:noFill/>
          </a:ln>
          <a:effectLst/>
        </c:spPr>
      </c:pivotFmt>
      <c:pivotFmt>
        <c:idx val="855"/>
        <c:spPr>
          <a:solidFill>
            <a:srgbClr val="00B050"/>
          </a:solidFill>
          <a:ln>
            <a:noFill/>
          </a:ln>
          <a:effectLst/>
        </c:spPr>
      </c:pivotFmt>
      <c:pivotFmt>
        <c:idx val="856"/>
        <c:spPr>
          <a:solidFill>
            <a:srgbClr val="00B050"/>
          </a:solidFill>
          <a:ln>
            <a:noFill/>
          </a:ln>
          <a:effectLst/>
        </c:spPr>
      </c:pivotFmt>
      <c:pivotFmt>
        <c:idx val="857"/>
        <c:spPr>
          <a:solidFill>
            <a:srgbClr val="00B050"/>
          </a:solidFill>
          <a:ln>
            <a:noFill/>
          </a:ln>
          <a:effectLst/>
        </c:spPr>
      </c:pivotFmt>
      <c:pivotFmt>
        <c:idx val="858"/>
        <c:spPr>
          <a:solidFill>
            <a:srgbClr val="00B050"/>
          </a:solidFill>
          <a:ln>
            <a:noFill/>
          </a:ln>
          <a:effectLst/>
        </c:spPr>
      </c:pivotFmt>
      <c:pivotFmt>
        <c:idx val="859"/>
        <c:spPr>
          <a:solidFill>
            <a:srgbClr val="00B050"/>
          </a:solidFill>
          <a:ln>
            <a:noFill/>
          </a:ln>
          <a:effectLst/>
        </c:spPr>
      </c:pivotFmt>
      <c:pivotFmt>
        <c:idx val="860"/>
        <c:spPr>
          <a:solidFill>
            <a:srgbClr val="FFD700"/>
          </a:solidFill>
          <a:ln>
            <a:noFill/>
          </a:ln>
          <a:effectLst/>
        </c:spPr>
      </c:pivotFmt>
      <c:pivotFmt>
        <c:idx val="861"/>
        <c:spPr>
          <a:solidFill>
            <a:srgbClr val="FFD700"/>
          </a:solidFill>
          <a:ln>
            <a:noFill/>
          </a:ln>
          <a:effectLst/>
        </c:spPr>
      </c:pivotFmt>
      <c:pivotFmt>
        <c:idx val="862"/>
        <c:spPr>
          <a:solidFill>
            <a:srgbClr val="FFD700"/>
          </a:solidFill>
          <a:ln>
            <a:noFill/>
          </a:ln>
          <a:effectLst/>
        </c:spPr>
      </c:pivotFmt>
      <c:pivotFmt>
        <c:idx val="863"/>
        <c:spPr>
          <a:solidFill>
            <a:srgbClr val="FFD700"/>
          </a:solidFill>
          <a:ln>
            <a:noFill/>
          </a:ln>
          <a:effectLst/>
        </c:spPr>
      </c:pivotFmt>
      <c:pivotFmt>
        <c:idx val="864"/>
        <c:spPr>
          <a:solidFill>
            <a:srgbClr val="FFD700"/>
          </a:solidFill>
          <a:ln>
            <a:noFill/>
          </a:ln>
          <a:effectLst/>
        </c:spPr>
      </c:pivotFmt>
      <c:pivotFmt>
        <c:idx val="865"/>
        <c:spPr>
          <a:solidFill>
            <a:srgbClr val="FFD700"/>
          </a:solidFill>
          <a:ln>
            <a:noFill/>
          </a:ln>
          <a:effectLst/>
        </c:spPr>
      </c:pivotFmt>
      <c:pivotFmt>
        <c:idx val="866"/>
        <c:spPr>
          <a:solidFill>
            <a:srgbClr val="FFD700"/>
          </a:solidFill>
          <a:ln>
            <a:noFill/>
          </a:ln>
          <a:effectLst/>
        </c:spPr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rgbClr val="00B050"/>
          </a:solidFill>
          <a:ln>
            <a:noFill/>
          </a:ln>
          <a:effectLst/>
        </c:spPr>
      </c:pivotFmt>
      <c:pivotFmt>
        <c:idx val="869"/>
        <c:spPr>
          <a:solidFill>
            <a:srgbClr val="00B050"/>
          </a:solidFill>
          <a:ln>
            <a:noFill/>
          </a:ln>
          <a:effectLst/>
        </c:spPr>
      </c:pivotFmt>
      <c:pivotFmt>
        <c:idx val="870"/>
        <c:spPr>
          <a:solidFill>
            <a:srgbClr val="00B050"/>
          </a:solidFill>
          <a:ln>
            <a:noFill/>
          </a:ln>
          <a:effectLst/>
        </c:spPr>
      </c:pivotFmt>
      <c:pivotFmt>
        <c:idx val="871"/>
        <c:spPr>
          <a:solidFill>
            <a:srgbClr val="00B050"/>
          </a:solidFill>
          <a:ln>
            <a:noFill/>
          </a:ln>
          <a:effectLst/>
        </c:spPr>
      </c:pivotFmt>
      <c:pivotFmt>
        <c:idx val="872"/>
        <c:spPr>
          <a:solidFill>
            <a:srgbClr val="00B050"/>
          </a:solidFill>
          <a:ln>
            <a:noFill/>
          </a:ln>
          <a:effectLst/>
        </c:spPr>
      </c:pivotFmt>
      <c:pivotFmt>
        <c:idx val="873"/>
        <c:spPr>
          <a:solidFill>
            <a:srgbClr val="00B050"/>
          </a:solidFill>
          <a:ln>
            <a:noFill/>
          </a:ln>
          <a:effectLst/>
        </c:spPr>
      </c:pivotFmt>
      <c:pivotFmt>
        <c:idx val="874"/>
        <c:spPr>
          <a:solidFill>
            <a:srgbClr val="FFD700"/>
          </a:solidFill>
          <a:ln>
            <a:noFill/>
          </a:ln>
          <a:effectLst/>
        </c:spPr>
      </c:pivotFmt>
      <c:pivotFmt>
        <c:idx val="875"/>
        <c:spPr>
          <a:solidFill>
            <a:srgbClr val="FFD700"/>
          </a:solidFill>
          <a:ln>
            <a:noFill/>
          </a:ln>
          <a:effectLst/>
        </c:spPr>
      </c:pivotFmt>
      <c:pivotFmt>
        <c:idx val="876"/>
        <c:spPr>
          <a:solidFill>
            <a:srgbClr val="FFD700"/>
          </a:solidFill>
          <a:ln>
            <a:noFill/>
          </a:ln>
          <a:effectLst/>
        </c:spPr>
      </c:pivotFmt>
      <c:pivotFmt>
        <c:idx val="877"/>
        <c:spPr>
          <a:solidFill>
            <a:srgbClr val="FFD700"/>
          </a:solidFill>
          <a:ln>
            <a:noFill/>
          </a:ln>
          <a:effectLst/>
        </c:spPr>
      </c:pivotFmt>
      <c:pivotFmt>
        <c:idx val="878"/>
        <c:spPr>
          <a:solidFill>
            <a:srgbClr val="FFD700"/>
          </a:solidFill>
          <a:ln>
            <a:noFill/>
          </a:ln>
          <a:effectLst/>
        </c:spPr>
      </c:pivotFmt>
      <c:pivotFmt>
        <c:idx val="879"/>
        <c:spPr>
          <a:solidFill>
            <a:srgbClr val="FFD700"/>
          </a:solidFill>
          <a:ln>
            <a:noFill/>
          </a:ln>
          <a:effectLst/>
        </c:spPr>
      </c:pivotFmt>
      <c:pivotFmt>
        <c:idx val="880"/>
        <c:spPr>
          <a:solidFill>
            <a:srgbClr val="FFD700"/>
          </a:solidFill>
          <a:ln>
            <a:noFill/>
          </a:ln>
          <a:effectLst/>
        </c:spPr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rgbClr val="00B050"/>
          </a:solidFill>
          <a:ln>
            <a:noFill/>
          </a:ln>
          <a:effectLst/>
        </c:spPr>
      </c:pivotFmt>
      <c:pivotFmt>
        <c:idx val="883"/>
        <c:spPr>
          <a:solidFill>
            <a:srgbClr val="00B050"/>
          </a:solidFill>
          <a:ln>
            <a:noFill/>
          </a:ln>
          <a:effectLst/>
        </c:spPr>
      </c:pivotFmt>
      <c:pivotFmt>
        <c:idx val="884"/>
        <c:spPr>
          <a:solidFill>
            <a:srgbClr val="00B050"/>
          </a:solidFill>
          <a:ln>
            <a:noFill/>
          </a:ln>
          <a:effectLst/>
        </c:spPr>
      </c:pivotFmt>
      <c:pivotFmt>
        <c:idx val="885"/>
        <c:spPr>
          <a:solidFill>
            <a:srgbClr val="00B050"/>
          </a:solidFill>
          <a:ln>
            <a:noFill/>
          </a:ln>
          <a:effectLst/>
        </c:spPr>
      </c:pivotFmt>
      <c:pivotFmt>
        <c:idx val="886"/>
        <c:spPr>
          <a:solidFill>
            <a:srgbClr val="00B050"/>
          </a:solidFill>
          <a:ln>
            <a:noFill/>
          </a:ln>
          <a:effectLst/>
        </c:spPr>
      </c:pivotFmt>
      <c:pivotFmt>
        <c:idx val="887"/>
        <c:spPr>
          <a:solidFill>
            <a:srgbClr val="00B050"/>
          </a:solidFill>
          <a:ln>
            <a:noFill/>
          </a:ln>
          <a:effectLst/>
        </c:spPr>
      </c:pivotFmt>
      <c:pivotFmt>
        <c:idx val="888"/>
        <c:spPr>
          <a:solidFill>
            <a:srgbClr val="FFD700"/>
          </a:solidFill>
          <a:ln>
            <a:noFill/>
          </a:ln>
          <a:effectLst/>
        </c:spPr>
      </c:pivotFmt>
      <c:pivotFmt>
        <c:idx val="889"/>
        <c:spPr>
          <a:solidFill>
            <a:srgbClr val="FFD700"/>
          </a:solidFill>
          <a:ln>
            <a:noFill/>
          </a:ln>
          <a:effectLst/>
        </c:spPr>
      </c:pivotFmt>
      <c:pivotFmt>
        <c:idx val="890"/>
        <c:spPr>
          <a:solidFill>
            <a:srgbClr val="FFD700"/>
          </a:solidFill>
          <a:ln>
            <a:noFill/>
          </a:ln>
          <a:effectLst/>
        </c:spPr>
      </c:pivotFmt>
      <c:pivotFmt>
        <c:idx val="891"/>
        <c:spPr>
          <a:solidFill>
            <a:srgbClr val="FFD700"/>
          </a:solidFill>
          <a:ln>
            <a:noFill/>
          </a:ln>
          <a:effectLst/>
        </c:spPr>
      </c:pivotFmt>
      <c:pivotFmt>
        <c:idx val="892"/>
        <c:spPr>
          <a:solidFill>
            <a:srgbClr val="FFD700"/>
          </a:solidFill>
          <a:ln>
            <a:noFill/>
          </a:ln>
          <a:effectLst/>
        </c:spPr>
      </c:pivotFmt>
      <c:pivotFmt>
        <c:idx val="893"/>
        <c:spPr>
          <a:solidFill>
            <a:srgbClr val="FFD700"/>
          </a:solidFill>
          <a:ln>
            <a:noFill/>
          </a:ln>
          <a:effectLst/>
        </c:spPr>
      </c:pivotFmt>
      <c:pivotFmt>
        <c:idx val="894"/>
        <c:spPr>
          <a:solidFill>
            <a:srgbClr val="FFD700"/>
          </a:solidFill>
          <a:ln>
            <a:noFill/>
          </a:ln>
          <a:effectLst/>
        </c:spPr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rgbClr val="00B050"/>
          </a:solidFill>
          <a:ln>
            <a:noFill/>
          </a:ln>
          <a:effectLst/>
        </c:spPr>
      </c:pivotFmt>
      <c:pivotFmt>
        <c:idx val="897"/>
        <c:spPr>
          <a:solidFill>
            <a:srgbClr val="00B050"/>
          </a:solidFill>
          <a:ln>
            <a:noFill/>
          </a:ln>
          <a:effectLst/>
        </c:spPr>
      </c:pivotFmt>
      <c:pivotFmt>
        <c:idx val="898"/>
        <c:spPr>
          <a:solidFill>
            <a:srgbClr val="00B050"/>
          </a:solidFill>
          <a:ln>
            <a:noFill/>
          </a:ln>
          <a:effectLst/>
        </c:spPr>
      </c:pivotFmt>
      <c:pivotFmt>
        <c:idx val="899"/>
        <c:spPr>
          <a:solidFill>
            <a:srgbClr val="00B050"/>
          </a:solidFill>
          <a:ln>
            <a:noFill/>
          </a:ln>
          <a:effectLst/>
        </c:spPr>
      </c:pivotFmt>
      <c:pivotFmt>
        <c:idx val="900"/>
        <c:spPr>
          <a:solidFill>
            <a:srgbClr val="00B050"/>
          </a:solidFill>
          <a:ln>
            <a:noFill/>
          </a:ln>
          <a:effectLst/>
        </c:spPr>
      </c:pivotFmt>
      <c:pivotFmt>
        <c:idx val="901"/>
        <c:spPr>
          <a:solidFill>
            <a:srgbClr val="00B050"/>
          </a:solidFill>
          <a:ln>
            <a:noFill/>
          </a:ln>
          <a:effectLst/>
        </c:spPr>
      </c:pivotFmt>
      <c:pivotFmt>
        <c:idx val="902"/>
        <c:spPr>
          <a:solidFill>
            <a:srgbClr val="FFD700"/>
          </a:solidFill>
          <a:ln>
            <a:noFill/>
          </a:ln>
          <a:effectLst/>
        </c:spPr>
      </c:pivotFmt>
      <c:pivotFmt>
        <c:idx val="903"/>
        <c:spPr>
          <a:solidFill>
            <a:srgbClr val="FFD700"/>
          </a:solidFill>
          <a:ln>
            <a:noFill/>
          </a:ln>
          <a:effectLst/>
        </c:spPr>
      </c:pivotFmt>
      <c:pivotFmt>
        <c:idx val="904"/>
        <c:spPr>
          <a:solidFill>
            <a:srgbClr val="FFD700"/>
          </a:solidFill>
          <a:ln>
            <a:noFill/>
          </a:ln>
          <a:effectLst/>
        </c:spPr>
      </c:pivotFmt>
      <c:pivotFmt>
        <c:idx val="905"/>
        <c:spPr>
          <a:solidFill>
            <a:srgbClr val="FFD700"/>
          </a:solidFill>
          <a:ln>
            <a:noFill/>
          </a:ln>
          <a:effectLst/>
        </c:spPr>
      </c:pivotFmt>
      <c:pivotFmt>
        <c:idx val="906"/>
        <c:spPr>
          <a:solidFill>
            <a:srgbClr val="FFD700"/>
          </a:solidFill>
          <a:ln>
            <a:noFill/>
          </a:ln>
          <a:effectLst/>
        </c:spPr>
      </c:pivotFmt>
      <c:pivotFmt>
        <c:idx val="907"/>
        <c:spPr>
          <a:solidFill>
            <a:srgbClr val="FFD700"/>
          </a:solidFill>
          <a:ln>
            <a:noFill/>
          </a:ln>
          <a:effectLst/>
        </c:spPr>
      </c:pivotFmt>
      <c:pivotFmt>
        <c:idx val="908"/>
        <c:spPr>
          <a:solidFill>
            <a:srgbClr val="FFD700"/>
          </a:solidFill>
          <a:ln>
            <a:noFill/>
          </a:ln>
          <a:effectLst/>
        </c:spPr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rgbClr val="00B050"/>
          </a:solidFill>
          <a:ln>
            <a:noFill/>
          </a:ln>
          <a:effectLst/>
        </c:spPr>
      </c:pivotFmt>
      <c:pivotFmt>
        <c:idx val="911"/>
        <c:spPr>
          <a:solidFill>
            <a:srgbClr val="00B050"/>
          </a:solidFill>
          <a:ln>
            <a:noFill/>
          </a:ln>
          <a:effectLst/>
        </c:spPr>
      </c:pivotFmt>
      <c:pivotFmt>
        <c:idx val="912"/>
        <c:spPr>
          <a:solidFill>
            <a:srgbClr val="00B050"/>
          </a:solidFill>
          <a:ln>
            <a:noFill/>
          </a:ln>
          <a:effectLst/>
        </c:spPr>
      </c:pivotFmt>
      <c:pivotFmt>
        <c:idx val="913"/>
        <c:spPr>
          <a:solidFill>
            <a:srgbClr val="00B050"/>
          </a:solidFill>
          <a:ln>
            <a:noFill/>
          </a:ln>
          <a:effectLst/>
        </c:spPr>
      </c:pivotFmt>
      <c:pivotFmt>
        <c:idx val="914"/>
        <c:spPr>
          <a:solidFill>
            <a:srgbClr val="00B050"/>
          </a:solidFill>
          <a:ln>
            <a:noFill/>
          </a:ln>
          <a:effectLst/>
        </c:spPr>
      </c:pivotFmt>
      <c:pivotFmt>
        <c:idx val="915"/>
        <c:spPr>
          <a:solidFill>
            <a:srgbClr val="00B050"/>
          </a:solidFill>
          <a:ln>
            <a:noFill/>
          </a:ln>
          <a:effectLst/>
        </c:spPr>
      </c:pivotFmt>
      <c:pivotFmt>
        <c:idx val="916"/>
        <c:spPr>
          <a:solidFill>
            <a:srgbClr val="FFD700"/>
          </a:solidFill>
          <a:ln>
            <a:noFill/>
          </a:ln>
          <a:effectLst/>
        </c:spPr>
      </c:pivotFmt>
      <c:pivotFmt>
        <c:idx val="917"/>
        <c:spPr>
          <a:solidFill>
            <a:srgbClr val="FFD700"/>
          </a:solidFill>
          <a:ln>
            <a:noFill/>
          </a:ln>
          <a:effectLst/>
        </c:spPr>
      </c:pivotFmt>
      <c:pivotFmt>
        <c:idx val="918"/>
        <c:spPr>
          <a:solidFill>
            <a:srgbClr val="FFD700"/>
          </a:solidFill>
          <a:ln>
            <a:noFill/>
          </a:ln>
          <a:effectLst/>
        </c:spPr>
      </c:pivotFmt>
      <c:pivotFmt>
        <c:idx val="919"/>
        <c:spPr>
          <a:solidFill>
            <a:srgbClr val="FFD700"/>
          </a:solidFill>
          <a:ln>
            <a:noFill/>
          </a:ln>
          <a:effectLst/>
        </c:spPr>
      </c:pivotFmt>
      <c:pivotFmt>
        <c:idx val="920"/>
        <c:spPr>
          <a:solidFill>
            <a:srgbClr val="FFD700"/>
          </a:solidFill>
          <a:ln>
            <a:noFill/>
          </a:ln>
          <a:effectLst/>
        </c:spPr>
      </c:pivotFmt>
      <c:pivotFmt>
        <c:idx val="921"/>
        <c:spPr>
          <a:solidFill>
            <a:srgbClr val="FFD700"/>
          </a:solidFill>
          <a:ln>
            <a:noFill/>
          </a:ln>
          <a:effectLst/>
        </c:spPr>
      </c:pivotFmt>
      <c:pivotFmt>
        <c:idx val="922"/>
        <c:spPr>
          <a:solidFill>
            <a:srgbClr val="FFD700"/>
          </a:solidFill>
          <a:ln>
            <a:noFill/>
          </a:ln>
          <a:effectLst/>
        </c:spPr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rgbClr val="00B050"/>
          </a:solidFill>
          <a:ln>
            <a:noFill/>
          </a:ln>
          <a:effectLst/>
        </c:spPr>
      </c:pivotFmt>
      <c:pivotFmt>
        <c:idx val="925"/>
        <c:spPr>
          <a:solidFill>
            <a:srgbClr val="00B050"/>
          </a:solidFill>
          <a:ln>
            <a:noFill/>
          </a:ln>
          <a:effectLst/>
        </c:spPr>
      </c:pivotFmt>
      <c:pivotFmt>
        <c:idx val="926"/>
        <c:spPr>
          <a:solidFill>
            <a:srgbClr val="00B050"/>
          </a:solidFill>
          <a:ln>
            <a:noFill/>
          </a:ln>
          <a:effectLst/>
        </c:spPr>
      </c:pivotFmt>
      <c:pivotFmt>
        <c:idx val="927"/>
        <c:spPr>
          <a:solidFill>
            <a:srgbClr val="00B050"/>
          </a:solidFill>
          <a:ln>
            <a:noFill/>
          </a:ln>
          <a:effectLst/>
        </c:spPr>
      </c:pivotFmt>
      <c:pivotFmt>
        <c:idx val="928"/>
        <c:spPr>
          <a:solidFill>
            <a:srgbClr val="00B050"/>
          </a:solidFill>
          <a:ln>
            <a:noFill/>
          </a:ln>
          <a:effectLst/>
        </c:spPr>
      </c:pivotFmt>
      <c:pivotFmt>
        <c:idx val="929"/>
        <c:spPr>
          <a:solidFill>
            <a:srgbClr val="00B050"/>
          </a:solidFill>
          <a:ln>
            <a:noFill/>
          </a:ln>
          <a:effectLst/>
        </c:spPr>
      </c:pivotFmt>
      <c:pivotFmt>
        <c:idx val="930"/>
        <c:spPr>
          <a:solidFill>
            <a:srgbClr val="FFD700"/>
          </a:solidFill>
          <a:ln>
            <a:noFill/>
          </a:ln>
          <a:effectLst/>
        </c:spPr>
      </c:pivotFmt>
      <c:pivotFmt>
        <c:idx val="931"/>
        <c:spPr>
          <a:solidFill>
            <a:srgbClr val="FFD700"/>
          </a:solidFill>
          <a:ln>
            <a:noFill/>
          </a:ln>
          <a:effectLst/>
        </c:spPr>
      </c:pivotFmt>
      <c:pivotFmt>
        <c:idx val="932"/>
        <c:spPr>
          <a:solidFill>
            <a:srgbClr val="FFD700"/>
          </a:solidFill>
          <a:ln>
            <a:noFill/>
          </a:ln>
          <a:effectLst/>
        </c:spPr>
      </c:pivotFmt>
      <c:pivotFmt>
        <c:idx val="933"/>
        <c:spPr>
          <a:solidFill>
            <a:srgbClr val="FFD700"/>
          </a:solidFill>
          <a:ln>
            <a:noFill/>
          </a:ln>
          <a:effectLst/>
        </c:spPr>
      </c:pivotFmt>
      <c:pivotFmt>
        <c:idx val="934"/>
        <c:spPr>
          <a:solidFill>
            <a:srgbClr val="FFD700"/>
          </a:solidFill>
          <a:ln>
            <a:noFill/>
          </a:ln>
          <a:effectLst/>
        </c:spPr>
      </c:pivotFmt>
      <c:pivotFmt>
        <c:idx val="935"/>
        <c:spPr>
          <a:solidFill>
            <a:srgbClr val="FFD700"/>
          </a:solidFill>
          <a:ln>
            <a:noFill/>
          </a:ln>
          <a:effectLst/>
        </c:spPr>
      </c:pivotFmt>
      <c:pivotFmt>
        <c:idx val="936"/>
        <c:spPr>
          <a:solidFill>
            <a:srgbClr val="FFD700"/>
          </a:solidFill>
          <a:ln>
            <a:noFill/>
          </a:ln>
          <a:effectLst/>
        </c:spPr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rgbClr val="00B050"/>
          </a:solidFill>
          <a:ln>
            <a:noFill/>
          </a:ln>
          <a:effectLst/>
        </c:spPr>
      </c:pivotFmt>
      <c:pivotFmt>
        <c:idx val="939"/>
        <c:spPr>
          <a:solidFill>
            <a:srgbClr val="00B050"/>
          </a:solidFill>
          <a:ln>
            <a:noFill/>
          </a:ln>
          <a:effectLst/>
        </c:spPr>
      </c:pivotFmt>
      <c:pivotFmt>
        <c:idx val="940"/>
        <c:spPr>
          <a:solidFill>
            <a:srgbClr val="00B050"/>
          </a:solidFill>
          <a:ln>
            <a:noFill/>
          </a:ln>
          <a:effectLst/>
        </c:spPr>
      </c:pivotFmt>
      <c:pivotFmt>
        <c:idx val="941"/>
        <c:spPr>
          <a:solidFill>
            <a:srgbClr val="00B050"/>
          </a:solidFill>
          <a:ln>
            <a:noFill/>
          </a:ln>
          <a:effectLst/>
        </c:spPr>
      </c:pivotFmt>
      <c:pivotFmt>
        <c:idx val="942"/>
        <c:spPr>
          <a:solidFill>
            <a:srgbClr val="00B050"/>
          </a:solidFill>
          <a:ln>
            <a:noFill/>
          </a:ln>
          <a:effectLst/>
        </c:spPr>
      </c:pivotFmt>
      <c:pivotFmt>
        <c:idx val="943"/>
        <c:spPr>
          <a:solidFill>
            <a:srgbClr val="00B050"/>
          </a:solidFill>
          <a:ln>
            <a:noFill/>
          </a:ln>
          <a:effectLst/>
        </c:spPr>
      </c:pivotFmt>
      <c:pivotFmt>
        <c:idx val="944"/>
        <c:spPr>
          <a:solidFill>
            <a:srgbClr val="FFD700"/>
          </a:solidFill>
          <a:ln>
            <a:noFill/>
          </a:ln>
          <a:effectLst/>
        </c:spPr>
      </c:pivotFmt>
      <c:pivotFmt>
        <c:idx val="945"/>
        <c:spPr>
          <a:solidFill>
            <a:srgbClr val="FFD700"/>
          </a:solidFill>
          <a:ln>
            <a:noFill/>
          </a:ln>
          <a:effectLst/>
        </c:spPr>
      </c:pivotFmt>
      <c:pivotFmt>
        <c:idx val="946"/>
        <c:spPr>
          <a:solidFill>
            <a:srgbClr val="FFD700"/>
          </a:solidFill>
          <a:ln>
            <a:noFill/>
          </a:ln>
          <a:effectLst/>
        </c:spPr>
      </c:pivotFmt>
      <c:pivotFmt>
        <c:idx val="947"/>
        <c:spPr>
          <a:solidFill>
            <a:srgbClr val="FFD700"/>
          </a:solidFill>
          <a:ln>
            <a:noFill/>
          </a:ln>
          <a:effectLst/>
        </c:spPr>
      </c:pivotFmt>
      <c:pivotFmt>
        <c:idx val="948"/>
        <c:spPr>
          <a:solidFill>
            <a:srgbClr val="FFD700"/>
          </a:solidFill>
          <a:ln>
            <a:noFill/>
          </a:ln>
          <a:effectLst/>
        </c:spPr>
      </c:pivotFmt>
      <c:pivotFmt>
        <c:idx val="949"/>
        <c:spPr>
          <a:solidFill>
            <a:srgbClr val="FFD700"/>
          </a:solidFill>
          <a:ln>
            <a:noFill/>
          </a:ln>
          <a:effectLst/>
        </c:spPr>
      </c:pivotFmt>
      <c:pivotFmt>
        <c:idx val="950"/>
        <c:spPr>
          <a:solidFill>
            <a:srgbClr val="FFD700"/>
          </a:solidFill>
          <a:ln>
            <a:noFill/>
          </a:ln>
          <a:effectLst/>
        </c:spPr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rgbClr val="00B050"/>
          </a:solidFill>
          <a:ln>
            <a:noFill/>
          </a:ln>
          <a:effectLst/>
        </c:spPr>
      </c:pivotFmt>
      <c:pivotFmt>
        <c:idx val="953"/>
        <c:spPr>
          <a:solidFill>
            <a:srgbClr val="00B050"/>
          </a:solidFill>
          <a:ln>
            <a:noFill/>
          </a:ln>
          <a:effectLst/>
        </c:spPr>
      </c:pivotFmt>
      <c:pivotFmt>
        <c:idx val="954"/>
        <c:spPr>
          <a:solidFill>
            <a:srgbClr val="00B050"/>
          </a:solidFill>
          <a:ln>
            <a:noFill/>
          </a:ln>
          <a:effectLst/>
        </c:spPr>
      </c:pivotFmt>
      <c:pivotFmt>
        <c:idx val="955"/>
        <c:spPr>
          <a:solidFill>
            <a:srgbClr val="00B050"/>
          </a:solidFill>
          <a:ln>
            <a:noFill/>
          </a:ln>
          <a:effectLst/>
        </c:spPr>
      </c:pivotFmt>
      <c:pivotFmt>
        <c:idx val="956"/>
        <c:spPr>
          <a:solidFill>
            <a:srgbClr val="00B050"/>
          </a:solidFill>
          <a:ln>
            <a:noFill/>
          </a:ln>
          <a:effectLst/>
        </c:spPr>
      </c:pivotFmt>
      <c:pivotFmt>
        <c:idx val="957"/>
        <c:spPr>
          <a:solidFill>
            <a:srgbClr val="00B050"/>
          </a:solidFill>
          <a:ln>
            <a:noFill/>
          </a:ln>
          <a:effectLst/>
        </c:spPr>
      </c:pivotFmt>
      <c:pivotFmt>
        <c:idx val="958"/>
        <c:spPr>
          <a:solidFill>
            <a:srgbClr val="FFD700"/>
          </a:solidFill>
          <a:ln>
            <a:noFill/>
          </a:ln>
          <a:effectLst/>
        </c:spPr>
      </c:pivotFmt>
      <c:pivotFmt>
        <c:idx val="959"/>
        <c:spPr>
          <a:solidFill>
            <a:srgbClr val="FFD700"/>
          </a:solidFill>
          <a:ln>
            <a:noFill/>
          </a:ln>
          <a:effectLst/>
        </c:spPr>
      </c:pivotFmt>
      <c:pivotFmt>
        <c:idx val="960"/>
        <c:spPr>
          <a:solidFill>
            <a:srgbClr val="FFD700"/>
          </a:solidFill>
          <a:ln>
            <a:noFill/>
          </a:ln>
          <a:effectLst/>
        </c:spPr>
      </c:pivotFmt>
      <c:pivotFmt>
        <c:idx val="961"/>
        <c:spPr>
          <a:solidFill>
            <a:srgbClr val="FFD700"/>
          </a:solidFill>
          <a:ln>
            <a:noFill/>
          </a:ln>
          <a:effectLst/>
        </c:spPr>
      </c:pivotFmt>
      <c:pivotFmt>
        <c:idx val="962"/>
        <c:spPr>
          <a:solidFill>
            <a:srgbClr val="FFD700"/>
          </a:solidFill>
          <a:ln>
            <a:noFill/>
          </a:ln>
          <a:effectLst/>
        </c:spPr>
      </c:pivotFmt>
      <c:pivotFmt>
        <c:idx val="963"/>
        <c:spPr>
          <a:solidFill>
            <a:srgbClr val="FFD700"/>
          </a:solidFill>
          <a:ln>
            <a:noFill/>
          </a:ln>
          <a:effectLst/>
        </c:spPr>
      </c:pivotFmt>
      <c:pivotFmt>
        <c:idx val="964"/>
        <c:spPr>
          <a:solidFill>
            <a:srgbClr val="FFD700"/>
          </a:solidFill>
          <a:ln>
            <a:noFill/>
          </a:ln>
          <a:effectLst/>
        </c:spPr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rgbClr val="00B050"/>
          </a:solidFill>
          <a:ln>
            <a:noFill/>
          </a:ln>
          <a:effectLst/>
        </c:spPr>
      </c:pivotFmt>
      <c:pivotFmt>
        <c:idx val="967"/>
        <c:spPr>
          <a:solidFill>
            <a:srgbClr val="00B050"/>
          </a:solidFill>
          <a:ln>
            <a:noFill/>
          </a:ln>
          <a:effectLst/>
        </c:spPr>
      </c:pivotFmt>
      <c:pivotFmt>
        <c:idx val="968"/>
        <c:spPr>
          <a:solidFill>
            <a:srgbClr val="00B050"/>
          </a:solidFill>
          <a:ln>
            <a:noFill/>
          </a:ln>
          <a:effectLst/>
        </c:spPr>
      </c:pivotFmt>
      <c:pivotFmt>
        <c:idx val="969"/>
        <c:spPr>
          <a:solidFill>
            <a:srgbClr val="00B050"/>
          </a:solidFill>
          <a:ln>
            <a:noFill/>
          </a:ln>
          <a:effectLst/>
        </c:spPr>
      </c:pivotFmt>
      <c:pivotFmt>
        <c:idx val="970"/>
        <c:spPr>
          <a:solidFill>
            <a:srgbClr val="00B050"/>
          </a:solidFill>
          <a:ln>
            <a:noFill/>
          </a:ln>
          <a:effectLst/>
        </c:spPr>
      </c:pivotFmt>
      <c:pivotFmt>
        <c:idx val="971"/>
        <c:spPr>
          <a:solidFill>
            <a:srgbClr val="00B050"/>
          </a:solidFill>
          <a:ln>
            <a:noFill/>
          </a:ln>
          <a:effectLst/>
        </c:spPr>
      </c:pivotFmt>
      <c:pivotFmt>
        <c:idx val="972"/>
        <c:spPr>
          <a:solidFill>
            <a:srgbClr val="FFD700"/>
          </a:solidFill>
          <a:ln>
            <a:noFill/>
          </a:ln>
          <a:effectLst/>
        </c:spPr>
      </c:pivotFmt>
      <c:pivotFmt>
        <c:idx val="973"/>
        <c:spPr>
          <a:solidFill>
            <a:srgbClr val="FFD700"/>
          </a:solidFill>
          <a:ln>
            <a:noFill/>
          </a:ln>
          <a:effectLst/>
        </c:spPr>
      </c:pivotFmt>
      <c:pivotFmt>
        <c:idx val="974"/>
        <c:spPr>
          <a:solidFill>
            <a:srgbClr val="FFD700"/>
          </a:solidFill>
          <a:ln>
            <a:noFill/>
          </a:ln>
          <a:effectLst/>
        </c:spPr>
      </c:pivotFmt>
      <c:pivotFmt>
        <c:idx val="975"/>
        <c:spPr>
          <a:solidFill>
            <a:srgbClr val="FFD700"/>
          </a:solidFill>
          <a:ln>
            <a:noFill/>
          </a:ln>
          <a:effectLst/>
        </c:spPr>
      </c:pivotFmt>
      <c:pivotFmt>
        <c:idx val="976"/>
        <c:spPr>
          <a:solidFill>
            <a:srgbClr val="FFD700"/>
          </a:solidFill>
          <a:ln>
            <a:noFill/>
          </a:ln>
          <a:effectLst/>
        </c:spPr>
      </c:pivotFmt>
      <c:pivotFmt>
        <c:idx val="977"/>
        <c:spPr>
          <a:solidFill>
            <a:srgbClr val="FFD700"/>
          </a:solidFill>
          <a:ln>
            <a:noFill/>
          </a:ln>
          <a:effectLst/>
        </c:spPr>
      </c:pivotFmt>
      <c:pivotFmt>
        <c:idx val="978"/>
        <c:spPr>
          <a:solidFill>
            <a:srgbClr val="FFD700"/>
          </a:solidFill>
          <a:ln>
            <a:noFill/>
          </a:ln>
          <a:effectLst/>
        </c:spPr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rgbClr val="00B050"/>
          </a:solidFill>
          <a:ln>
            <a:noFill/>
          </a:ln>
          <a:effectLst/>
        </c:spPr>
      </c:pivotFmt>
      <c:pivotFmt>
        <c:idx val="981"/>
        <c:spPr>
          <a:solidFill>
            <a:srgbClr val="00B050"/>
          </a:solidFill>
          <a:ln>
            <a:noFill/>
          </a:ln>
          <a:effectLst/>
        </c:spPr>
      </c:pivotFmt>
      <c:pivotFmt>
        <c:idx val="982"/>
        <c:spPr>
          <a:solidFill>
            <a:srgbClr val="00B050"/>
          </a:solidFill>
          <a:ln>
            <a:noFill/>
          </a:ln>
          <a:effectLst/>
        </c:spPr>
      </c:pivotFmt>
      <c:pivotFmt>
        <c:idx val="983"/>
        <c:spPr>
          <a:solidFill>
            <a:srgbClr val="00B050"/>
          </a:solidFill>
          <a:ln>
            <a:noFill/>
          </a:ln>
          <a:effectLst/>
        </c:spPr>
      </c:pivotFmt>
      <c:pivotFmt>
        <c:idx val="984"/>
        <c:spPr>
          <a:solidFill>
            <a:srgbClr val="00B050"/>
          </a:solidFill>
          <a:ln>
            <a:noFill/>
          </a:ln>
          <a:effectLst/>
        </c:spPr>
      </c:pivotFmt>
      <c:pivotFmt>
        <c:idx val="985"/>
        <c:spPr>
          <a:solidFill>
            <a:srgbClr val="00B050"/>
          </a:solidFill>
          <a:ln>
            <a:noFill/>
          </a:ln>
          <a:effectLst/>
        </c:spPr>
      </c:pivotFmt>
      <c:pivotFmt>
        <c:idx val="986"/>
        <c:spPr>
          <a:solidFill>
            <a:srgbClr val="FFD700"/>
          </a:solidFill>
          <a:ln>
            <a:noFill/>
          </a:ln>
          <a:effectLst/>
        </c:spPr>
      </c:pivotFmt>
      <c:pivotFmt>
        <c:idx val="987"/>
        <c:spPr>
          <a:solidFill>
            <a:srgbClr val="FFD700"/>
          </a:solidFill>
          <a:ln>
            <a:noFill/>
          </a:ln>
          <a:effectLst/>
        </c:spPr>
      </c:pivotFmt>
      <c:pivotFmt>
        <c:idx val="988"/>
        <c:spPr>
          <a:solidFill>
            <a:srgbClr val="FFD700"/>
          </a:solidFill>
          <a:ln>
            <a:noFill/>
          </a:ln>
          <a:effectLst/>
        </c:spPr>
      </c:pivotFmt>
      <c:pivotFmt>
        <c:idx val="989"/>
        <c:spPr>
          <a:solidFill>
            <a:srgbClr val="FFD700"/>
          </a:solidFill>
          <a:ln>
            <a:noFill/>
          </a:ln>
          <a:effectLst/>
        </c:spPr>
      </c:pivotFmt>
      <c:pivotFmt>
        <c:idx val="990"/>
        <c:spPr>
          <a:solidFill>
            <a:srgbClr val="FFD700"/>
          </a:solidFill>
          <a:ln>
            <a:noFill/>
          </a:ln>
          <a:effectLst/>
        </c:spPr>
      </c:pivotFmt>
      <c:pivotFmt>
        <c:idx val="991"/>
        <c:spPr>
          <a:solidFill>
            <a:srgbClr val="FFD700"/>
          </a:solidFill>
          <a:ln>
            <a:noFill/>
          </a:ln>
          <a:effectLst/>
        </c:spPr>
      </c:pivotFmt>
      <c:pivotFmt>
        <c:idx val="992"/>
        <c:spPr>
          <a:solidFill>
            <a:srgbClr val="FFD700"/>
          </a:solidFill>
          <a:ln>
            <a:noFill/>
          </a:ln>
          <a:effectLst/>
        </c:spP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rgbClr val="00B050"/>
          </a:solidFill>
          <a:ln>
            <a:noFill/>
          </a:ln>
          <a:effectLst/>
        </c:spPr>
      </c:pivotFmt>
      <c:pivotFmt>
        <c:idx val="995"/>
        <c:spPr>
          <a:solidFill>
            <a:srgbClr val="00B050"/>
          </a:solidFill>
          <a:ln>
            <a:noFill/>
          </a:ln>
          <a:effectLst/>
        </c:spPr>
      </c:pivotFmt>
      <c:pivotFmt>
        <c:idx val="996"/>
        <c:spPr>
          <a:solidFill>
            <a:srgbClr val="00B050"/>
          </a:solidFill>
          <a:ln>
            <a:noFill/>
          </a:ln>
          <a:effectLst/>
        </c:spPr>
      </c:pivotFmt>
      <c:pivotFmt>
        <c:idx val="997"/>
        <c:spPr>
          <a:solidFill>
            <a:srgbClr val="00B050"/>
          </a:solidFill>
          <a:ln>
            <a:noFill/>
          </a:ln>
          <a:effectLst/>
        </c:spPr>
      </c:pivotFmt>
      <c:pivotFmt>
        <c:idx val="998"/>
        <c:spPr>
          <a:solidFill>
            <a:srgbClr val="00B050"/>
          </a:solidFill>
          <a:ln>
            <a:noFill/>
          </a:ln>
          <a:effectLst/>
        </c:spPr>
      </c:pivotFmt>
      <c:pivotFmt>
        <c:idx val="999"/>
        <c:spPr>
          <a:solidFill>
            <a:srgbClr val="00B050"/>
          </a:solidFill>
          <a:ln>
            <a:noFill/>
          </a:ln>
          <a:effectLst/>
        </c:spPr>
      </c:pivotFmt>
      <c:pivotFmt>
        <c:idx val="1000"/>
        <c:spPr>
          <a:solidFill>
            <a:srgbClr val="FFD700"/>
          </a:solidFill>
          <a:ln>
            <a:noFill/>
          </a:ln>
          <a:effectLst/>
        </c:spPr>
      </c:pivotFmt>
      <c:pivotFmt>
        <c:idx val="1001"/>
        <c:spPr>
          <a:solidFill>
            <a:srgbClr val="FFD700"/>
          </a:solidFill>
          <a:ln>
            <a:noFill/>
          </a:ln>
          <a:effectLst/>
        </c:spPr>
      </c:pivotFmt>
      <c:pivotFmt>
        <c:idx val="1002"/>
        <c:spPr>
          <a:solidFill>
            <a:srgbClr val="FFD700"/>
          </a:solidFill>
          <a:ln>
            <a:noFill/>
          </a:ln>
          <a:effectLst/>
        </c:spPr>
      </c:pivotFmt>
      <c:pivotFmt>
        <c:idx val="1003"/>
        <c:spPr>
          <a:solidFill>
            <a:srgbClr val="FFD700"/>
          </a:solidFill>
          <a:ln>
            <a:noFill/>
          </a:ln>
          <a:effectLst/>
        </c:spPr>
      </c:pivotFmt>
      <c:pivotFmt>
        <c:idx val="1004"/>
        <c:spPr>
          <a:solidFill>
            <a:srgbClr val="FFD700"/>
          </a:solidFill>
          <a:ln>
            <a:noFill/>
          </a:ln>
          <a:effectLst/>
        </c:spPr>
      </c:pivotFmt>
      <c:pivotFmt>
        <c:idx val="1005"/>
        <c:spPr>
          <a:solidFill>
            <a:srgbClr val="FFD700"/>
          </a:solidFill>
          <a:ln>
            <a:noFill/>
          </a:ln>
          <a:effectLst/>
        </c:spPr>
      </c:pivotFmt>
      <c:pivotFmt>
        <c:idx val="1006"/>
        <c:spPr>
          <a:solidFill>
            <a:srgbClr val="FFD700"/>
          </a:solidFill>
          <a:ln>
            <a:noFill/>
          </a:ln>
          <a:effectLst/>
        </c:spP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rgbClr val="00B050"/>
          </a:solidFill>
          <a:ln>
            <a:noFill/>
          </a:ln>
          <a:effectLst/>
        </c:spPr>
      </c:pivotFmt>
      <c:pivotFmt>
        <c:idx val="1009"/>
        <c:spPr>
          <a:solidFill>
            <a:srgbClr val="00B050"/>
          </a:solidFill>
          <a:ln>
            <a:noFill/>
          </a:ln>
          <a:effectLst/>
        </c:spPr>
      </c:pivotFmt>
      <c:pivotFmt>
        <c:idx val="1010"/>
        <c:spPr>
          <a:solidFill>
            <a:srgbClr val="00B050"/>
          </a:solidFill>
          <a:ln>
            <a:noFill/>
          </a:ln>
          <a:effectLst/>
        </c:spPr>
      </c:pivotFmt>
      <c:pivotFmt>
        <c:idx val="1011"/>
        <c:spPr>
          <a:solidFill>
            <a:srgbClr val="00B050"/>
          </a:solidFill>
          <a:ln>
            <a:noFill/>
          </a:ln>
          <a:effectLst/>
        </c:spPr>
      </c:pivotFmt>
      <c:pivotFmt>
        <c:idx val="1012"/>
        <c:spPr>
          <a:solidFill>
            <a:srgbClr val="00B050"/>
          </a:solidFill>
          <a:ln>
            <a:noFill/>
          </a:ln>
          <a:effectLst/>
        </c:spPr>
      </c:pivotFmt>
      <c:pivotFmt>
        <c:idx val="1013"/>
        <c:spPr>
          <a:solidFill>
            <a:srgbClr val="00B050"/>
          </a:solidFill>
          <a:ln>
            <a:noFill/>
          </a:ln>
          <a:effectLst/>
        </c:spPr>
      </c:pivotFmt>
      <c:pivotFmt>
        <c:idx val="1014"/>
        <c:spPr>
          <a:solidFill>
            <a:srgbClr val="FFD700"/>
          </a:solidFill>
          <a:ln>
            <a:noFill/>
          </a:ln>
          <a:effectLst/>
        </c:spPr>
      </c:pivotFmt>
      <c:pivotFmt>
        <c:idx val="1015"/>
        <c:spPr>
          <a:solidFill>
            <a:srgbClr val="FFD700"/>
          </a:solidFill>
          <a:ln>
            <a:noFill/>
          </a:ln>
          <a:effectLst/>
        </c:spPr>
      </c:pivotFmt>
      <c:pivotFmt>
        <c:idx val="1016"/>
        <c:spPr>
          <a:solidFill>
            <a:srgbClr val="FFD700"/>
          </a:solidFill>
          <a:ln>
            <a:noFill/>
          </a:ln>
          <a:effectLst/>
        </c:spPr>
      </c:pivotFmt>
      <c:pivotFmt>
        <c:idx val="1017"/>
        <c:spPr>
          <a:solidFill>
            <a:srgbClr val="FFD700"/>
          </a:solidFill>
          <a:ln>
            <a:noFill/>
          </a:ln>
          <a:effectLst/>
        </c:spPr>
      </c:pivotFmt>
      <c:pivotFmt>
        <c:idx val="1018"/>
        <c:spPr>
          <a:solidFill>
            <a:srgbClr val="FFD700"/>
          </a:solidFill>
          <a:ln>
            <a:noFill/>
          </a:ln>
          <a:effectLst/>
        </c:spPr>
      </c:pivotFmt>
      <c:pivotFmt>
        <c:idx val="1019"/>
        <c:spPr>
          <a:solidFill>
            <a:srgbClr val="FFD700"/>
          </a:solidFill>
          <a:ln>
            <a:noFill/>
          </a:ln>
          <a:effectLst/>
        </c:spPr>
      </c:pivotFmt>
      <c:pivotFmt>
        <c:idx val="1020"/>
        <c:spPr>
          <a:solidFill>
            <a:srgbClr val="FFD700"/>
          </a:solidFill>
          <a:ln>
            <a:noFill/>
          </a:ln>
          <a:effectLst/>
        </c:spPr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rgbClr val="00B050"/>
          </a:solidFill>
          <a:ln>
            <a:noFill/>
          </a:ln>
          <a:effectLst/>
        </c:spPr>
      </c:pivotFmt>
      <c:pivotFmt>
        <c:idx val="1023"/>
        <c:spPr>
          <a:solidFill>
            <a:srgbClr val="00B050"/>
          </a:solidFill>
          <a:ln>
            <a:noFill/>
          </a:ln>
          <a:effectLst/>
        </c:spPr>
      </c:pivotFmt>
      <c:pivotFmt>
        <c:idx val="1024"/>
        <c:spPr>
          <a:solidFill>
            <a:srgbClr val="00B050"/>
          </a:solidFill>
          <a:ln>
            <a:noFill/>
          </a:ln>
          <a:effectLst/>
        </c:spPr>
      </c:pivotFmt>
      <c:pivotFmt>
        <c:idx val="1025"/>
        <c:spPr>
          <a:solidFill>
            <a:srgbClr val="00B050"/>
          </a:solidFill>
          <a:ln>
            <a:noFill/>
          </a:ln>
          <a:effectLst/>
        </c:spPr>
      </c:pivotFmt>
      <c:pivotFmt>
        <c:idx val="1026"/>
        <c:spPr>
          <a:solidFill>
            <a:srgbClr val="00B050"/>
          </a:solidFill>
          <a:ln>
            <a:noFill/>
          </a:ln>
          <a:effectLst/>
        </c:spPr>
      </c:pivotFmt>
      <c:pivotFmt>
        <c:idx val="1027"/>
        <c:spPr>
          <a:solidFill>
            <a:srgbClr val="00B050"/>
          </a:solidFill>
          <a:ln>
            <a:noFill/>
          </a:ln>
          <a:effectLst/>
        </c:spPr>
      </c:pivotFmt>
      <c:pivotFmt>
        <c:idx val="1028"/>
        <c:spPr>
          <a:solidFill>
            <a:srgbClr val="FFD700"/>
          </a:solidFill>
          <a:ln>
            <a:noFill/>
          </a:ln>
          <a:effectLst/>
        </c:spPr>
      </c:pivotFmt>
      <c:pivotFmt>
        <c:idx val="1029"/>
        <c:spPr>
          <a:solidFill>
            <a:srgbClr val="FFD700"/>
          </a:solidFill>
          <a:ln>
            <a:noFill/>
          </a:ln>
          <a:effectLst/>
        </c:spPr>
      </c:pivotFmt>
      <c:pivotFmt>
        <c:idx val="1030"/>
        <c:spPr>
          <a:solidFill>
            <a:srgbClr val="FFD700"/>
          </a:solidFill>
          <a:ln>
            <a:noFill/>
          </a:ln>
          <a:effectLst/>
        </c:spPr>
      </c:pivotFmt>
      <c:pivotFmt>
        <c:idx val="1031"/>
        <c:spPr>
          <a:solidFill>
            <a:srgbClr val="FFD700"/>
          </a:solidFill>
          <a:ln>
            <a:noFill/>
          </a:ln>
          <a:effectLst/>
        </c:spPr>
      </c:pivotFmt>
      <c:pivotFmt>
        <c:idx val="1032"/>
        <c:spPr>
          <a:solidFill>
            <a:srgbClr val="FFD700"/>
          </a:solidFill>
          <a:ln>
            <a:noFill/>
          </a:ln>
          <a:effectLst/>
        </c:spPr>
      </c:pivotFmt>
      <c:pivotFmt>
        <c:idx val="1033"/>
        <c:spPr>
          <a:solidFill>
            <a:srgbClr val="FFD700"/>
          </a:solidFill>
          <a:ln>
            <a:noFill/>
          </a:ln>
          <a:effectLst/>
        </c:spPr>
      </c:pivotFmt>
      <c:pivotFmt>
        <c:idx val="1034"/>
        <c:spPr>
          <a:solidFill>
            <a:srgbClr val="FFD700"/>
          </a:solidFill>
          <a:ln>
            <a:noFill/>
          </a:ln>
          <a:effectLst/>
        </c:spPr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00B050"/>
          </a:solidFill>
          <a:ln>
            <a:noFill/>
          </a:ln>
          <a:effectLst/>
        </c:spPr>
      </c:pivotFmt>
      <c:pivotFmt>
        <c:idx val="1037"/>
        <c:spPr>
          <a:solidFill>
            <a:srgbClr val="00B050"/>
          </a:solidFill>
          <a:ln>
            <a:noFill/>
          </a:ln>
          <a:effectLst/>
        </c:spPr>
      </c:pivotFmt>
      <c:pivotFmt>
        <c:idx val="1038"/>
        <c:spPr>
          <a:solidFill>
            <a:srgbClr val="00B050"/>
          </a:solidFill>
          <a:ln>
            <a:noFill/>
          </a:ln>
          <a:effectLst/>
        </c:spPr>
      </c:pivotFmt>
      <c:pivotFmt>
        <c:idx val="1039"/>
        <c:spPr>
          <a:solidFill>
            <a:srgbClr val="00B050"/>
          </a:solidFill>
          <a:ln>
            <a:noFill/>
          </a:ln>
          <a:effectLst/>
        </c:spPr>
      </c:pivotFmt>
      <c:pivotFmt>
        <c:idx val="1040"/>
        <c:spPr>
          <a:solidFill>
            <a:srgbClr val="00B050"/>
          </a:solidFill>
          <a:ln>
            <a:noFill/>
          </a:ln>
          <a:effectLst/>
        </c:spPr>
      </c:pivotFmt>
      <c:pivotFmt>
        <c:idx val="1041"/>
        <c:spPr>
          <a:solidFill>
            <a:srgbClr val="00B050"/>
          </a:solidFill>
          <a:ln>
            <a:noFill/>
          </a:ln>
          <a:effectLst/>
        </c:spPr>
      </c:pivotFmt>
      <c:pivotFmt>
        <c:idx val="1042"/>
        <c:spPr>
          <a:solidFill>
            <a:srgbClr val="FFD700"/>
          </a:solidFill>
          <a:ln>
            <a:noFill/>
          </a:ln>
          <a:effectLst/>
        </c:spPr>
      </c:pivotFmt>
      <c:pivotFmt>
        <c:idx val="1043"/>
        <c:spPr>
          <a:solidFill>
            <a:srgbClr val="FFD700"/>
          </a:solidFill>
          <a:ln>
            <a:noFill/>
          </a:ln>
          <a:effectLst/>
        </c:spPr>
      </c:pivotFmt>
      <c:pivotFmt>
        <c:idx val="1044"/>
        <c:spPr>
          <a:solidFill>
            <a:srgbClr val="FFD700"/>
          </a:solidFill>
          <a:ln>
            <a:noFill/>
          </a:ln>
          <a:effectLst/>
        </c:spPr>
      </c:pivotFmt>
      <c:pivotFmt>
        <c:idx val="1045"/>
        <c:spPr>
          <a:solidFill>
            <a:srgbClr val="FFD700"/>
          </a:solidFill>
          <a:ln>
            <a:noFill/>
          </a:ln>
          <a:effectLst/>
        </c:spPr>
      </c:pivotFmt>
      <c:pivotFmt>
        <c:idx val="1046"/>
        <c:spPr>
          <a:solidFill>
            <a:srgbClr val="FFD700"/>
          </a:solidFill>
          <a:ln>
            <a:noFill/>
          </a:ln>
          <a:effectLst/>
        </c:spPr>
      </c:pivotFmt>
      <c:pivotFmt>
        <c:idx val="1047"/>
        <c:spPr>
          <a:solidFill>
            <a:srgbClr val="FFD700"/>
          </a:solidFill>
          <a:ln>
            <a:noFill/>
          </a:ln>
          <a:effectLst/>
        </c:spPr>
      </c:pivotFmt>
      <c:pivotFmt>
        <c:idx val="1048"/>
        <c:spPr>
          <a:solidFill>
            <a:srgbClr val="FFD700"/>
          </a:solidFill>
          <a:ln>
            <a:noFill/>
          </a:ln>
          <a:effectLst/>
        </c:spPr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rgbClr val="00B050"/>
          </a:solidFill>
          <a:ln>
            <a:noFill/>
          </a:ln>
          <a:effectLst/>
        </c:spPr>
      </c:pivotFmt>
      <c:pivotFmt>
        <c:idx val="1051"/>
        <c:spPr>
          <a:solidFill>
            <a:srgbClr val="00B050"/>
          </a:solidFill>
          <a:ln>
            <a:noFill/>
          </a:ln>
          <a:effectLst/>
        </c:spPr>
      </c:pivotFmt>
      <c:pivotFmt>
        <c:idx val="1052"/>
        <c:spPr>
          <a:solidFill>
            <a:srgbClr val="00B050"/>
          </a:solidFill>
          <a:ln>
            <a:noFill/>
          </a:ln>
          <a:effectLst/>
        </c:spPr>
      </c:pivotFmt>
      <c:pivotFmt>
        <c:idx val="1053"/>
        <c:spPr>
          <a:solidFill>
            <a:srgbClr val="00B050"/>
          </a:solidFill>
          <a:ln>
            <a:noFill/>
          </a:ln>
          <a:effectLst/>
        </c:spPr>
      </c:pivotFmt>
      <c:pivotFmt>
        <c:idx val="1054"/>
        <c:spPr>
          <a:solidFill>
            <a:srgbClr val="00B050"/>
          </a:solidFill>
          <a:ln>
            <a:noFill/>
          </a:ln>
          <a:effectLst/>
        </c:spPr>
      </c:pivotFmt>
      <c:pivotFmt>
        <c:idx val="1055"/>
        <c:spPr>
          <a:solidFill>
            <a:srgbClr val="00B050"/>
          </a:solidFill>
          <a:ln>
            <a:noFill/>
          </a:ln>
          <a:effectLst/>
        </c:spPr>
      </c:pivotFmt>
      <c:pivotFmt>
        <c:idx val="1056"/>
        <c:spPr>
          <a:solidFill>
            <a:srgbClr val="FFD700"/>
          </a:solidFill>
          <a:ln>
            <a:noFill/>
          </a:ln>
          <a:effectLst/>
        </c:spPr>
      </c:pivotFmt>
      <c:pivotFmt>
        <c:idx val="1057"/>
        <c:spPr>
          <a:solidFill>
            <a:srgbClr val="FFD700"/>
          </a:solidFill>
          <a:ln>
            <a:noFill/>
          </a:ln>
          <a:effectLst/>
        </c:spPr>
      </c:pivotFmt>
      <c:pivotFmt>
        <c:idx val="1058"/>
        <c:spPr>
          <a:solidFill>
            <a:srgbClr val="FFD700"/>
          </a:solidFill>
          <a:ln>
            <a:noFill/>
          </a:ln>
          <a:effectLst/>
        </c:spPr>
      </c:pivotFmt>
      <c:pivotFmt>
        <c:idx val="1059"/>
        <c:spPr>
          <a:solidFill>
            <a:srgbClr val="FFD700"/>
          </a:solidFill>
          <a:ln>
            <a:noFill/>
          </a:ln>
          <a:effectLst/>
        </c:spPr>
      </c:pivotFmt>
      <c:pivotFmt>
        <c:idx val="1060"/>
        <c:spPr>
          <a:solidFill>
            <a:srgbClr val="FFD700"/>
          </a:solidFill>
          <a:ln>
            <a:noFill/>
          </a:ln>
          <a:effectLst/>
        </c:spPr>
      </c:pivotFmt>
      <c:pivotFmt>
        <c:idx val="1061"/>
        <c:spPr>
          <a:solidFill>
            <a:srgbClr val="FFD700"/>
          </a:solidFill>
          <a:ln>
            <a:noFill/>
          </a:ln>
          <a:effectLst/>
        </c:spPr>
      </c:pivotFmt>
      <c:pivotFmt>
        <c:idx val="1062"/>
        <c:spPr>
          <a:solidFill>
            <a:srgbClr val="FFD700"/>
          </a:solidFill>
          <a:ln>
            <a:noFill/>
          </a:ln>
          <a:effectLst/>
        </c:spPr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rgbClr val="00B050"/>
          </a:solidFill>
          <a:ln>
            <a:noFill/>
          </a:ln>
          <a:effectLst/>
        </c:spPr>
      </c:pivotFmt>
      <c:pivotFmt>
        <c:idx val="1065"/>
        <c:spPr>
          <a:solidFill>
            <a:srgbClr val="00B050"/>
          </a:solidFill>
          <a:ln>
            <a:noFill/>
          </a:ln>
          <a:effectLst/>
        </c:spPr>
      </c:pivotFmt>
      <c:pivotFmt>
        <c:idx val="1066"/>
        <c:spPr>
          <a:solidFill>
            <a:srgbClr val="00B050"/>
          </a:solidFill>
          <a:ln>
            <a:noFill/>
          </a:ln>
          <a:effectLst/>
        </c:spPr>
      </c:pivotFmt>
      <c:pivotFmt>
        <c:idx val="1067"/>
        <c:spPr>
          <a:solidFill>
            <a:srgbClr val="00B050"/>
          </a:solidFill>
          <a:ln>
            <a:noFill/>
          </a:ln>
          <a:effectLst/>
        </c:spPr>
      </c:pivotFmt>
      <c:pivotFmt>
        <c:idx val="1068"/>
        <c:spPr>
          <a:solidFill>
            <a:srgbClr val="00B050"/>
          </a:solidFill>
          <a:ln>
            <a:noFill/>
          </a:ln>
          <a:effectLst/>
        </c:spPr>
      </c:pivotFmt>
      <c:pivotFmt>
        <c:idx val="1069"/>
        <c:spPr>
          <a:solidFill>
            <a:srgbClr val="00B050"/>
          </a:solidFill>
          <a:ln>
            <a:noFill/>
          </a:ln>
          <a:effectLst/>
        </c:spPr>
      </c:pivotFmt>
      <c:pivotFmt>
        <c:idx val="1070"/>
        <c:spPr>
          <a:solidFill>
            <a:srgbClr val="00B050"/>
          </a:solidFill>
          <a:ln>
            <a:noFill/>
          </a:ln>
          <a:effectLst/>
        </c:spPr>
      </c:pivotFmt>
      <c:pivotFmt>
        <c:idx val="1071"/>
        <c:spPr>
          <a:solidFill>
            <a:srgbClr val="FFD700"/>
          </a:solidFill>
          <a:ln>
            <a:noFill/>
          </a:ln>
          <a:effectLst/>
        </c:spPr>
      </c:pivotFmt>
      <c:pivotFmt>
        <c:idx val="1072"/>
        <c:spPr>
          <a:solidFill>
            <a:srgbClr val="FFD700"/>
          </a:solidFill>
          <a:ln>
            <a:noFill/>
          </a:ln>
          <a:effectLst/>
        </c:spPr>
      </c:pivotFmt>
      <c:pivotFmt>
        <c:idx val="1073"/>
        <c:spPr>
          <a:solidFill>
            <a:srgbClr val="FFD700"/>
          </a:solidFill>
          <a:ln>
            <a:noFill/>
          </a:ln>
          <a:effectLst/>
        </c:spPr>
      </c:pivotFmt>
      <c:pivotFmt>
        <c:idx val="1074"/>
        <c:spPr>
          <a:solidFill>
            <a:srgbClr val="FFD700"/>
          </a:solidFill>
          <a:ln>
            <a:noFill/>
          </a:ln>
          <a:effectLst/>
        </c:spPr>
      </c:pivotFmt>
      <c:pivotFmt>
        <c:idx val="1075"/>
        <c:spPr>
          <a:solidFill>
            <a:srgbClr val="FFD700"/>
          </a:solidFill>
          <a:ln>
            <a:noFill/>
          </a:ln>
          <a:effectLst/>
        </c:spPr>
      </c:pivotFmt>
      <c:pivotFmt>
        <c:idx val="1076"/>
        <c:spPr>
          <a:solidFill>
            <a:srgbClr val="FFD700"/>
          </a:solidFill>
          <a:ln>
            <a:noFill/>
          </a:ln>
          <a:effectLst/>
        </c:spPr>
      </c:pivotFmt>
      <c:pivotFmt>
        <c:idx val="1077"/>
        <c:spPr>
          <a:solidFill>
            <a:srgbClr val="FFD700"/>
          </a:solidFill>
          <a:ln>
            <a:noFill/>
          </a:ln>
          <a:effectLst/>
        </c:spPr>
      </c:pivotFmt>
      <c:pivotFmt>
        <c:idx val="1078"/>
        <c:spPr>
          <a:solidFill>
            <a:srgbClr val="FFD700"/>
          </a:solidFill>
          <a:ln>
            <a:noFill/>
          </a:ln>
          <a:effectLst/>
        </c:spPr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rgbClr val="00B050"/>
          </a:solidFill>
          <a:ln>
            <a:noFill/>
          </a:ln>
          <a:effectLst/>
        </c:spPr>
      </c:pivotFmt>
      <c:pivotFmt>
        <c:idx val="1081"/>
        <c:spPr>
          <a:solidFill>
            <a:srgbClr val="00B050"/>
          </a:solidFill>
          <a:ln>
            <a:noFill/>
          </a:ln>
          <a:effectLst/>
        </c:spPr>
      </c:pivotFmt>
      <c:pivotFmt>
        <c:idx val="1082"/>
        <c:spPr>
          <a:solidFill>
            <a:srgbClr val="00B050"/>
          </a:solidFill>
          <a:ln>
            <a:noFill/>
          </a:ln>
          <a:effectLst/>
        </c:spPr>
      </c:pivotFmt>
      <c:pivotFmt>
        <c:idx val="1083"/>
        <c:spPr>
          <a:solidFill>
            <a:srgbClr val="00B050"/>
          </a:solidFill>
          <a:ln>
            <a:noFill/>
          </a:ln>
          <a:effectLst/>
        </c:spPr>
      </c:pivotFmt>
      <c:pivotFmt>
        <c:idx val="1084"/>
        <c:spPr>
          <a:solidFill>
            <a:srgbClr val="00B050"/>
          </a:solidFill>
          <a:ln>
            <a:noFill/>
          </a:ln>
          <a:effectLst/>
        </c:spPr>
      </c:pivotFmt>
      <c:pivotFmt>
        <c:idx val="1085"/>
        <c:spPr>
          <a:solidFill>
            <a:srgbClr val="00B050"/>
          </a:solidFill>
          <a:ln>
            <a:noFill/>
          </a:ln>
          <a:effectLst/>
        </c:spPr>
      </c:pivotFmt>
      <c:pivotFmt>
        <c:idx val="1086"/>
        <c:spPr>
          <a:solidFill>
            <a:srgbClr val="00B050"/>
          </a:solidFill>
          <a:ln>
            <a:noFill/>
          </a:ln>
          <a:effectLst/>
        </c:spPr>
      </c:pivotFmt>
      <c:pivotFmt>
        <c:idx val="1087"/>
        <c:spPr>
          <a:solidFill>
            <a:srgbClr val="FFD700"/>
          </a:solidFill>
          <a:ln>
            <a:noFill/>
          </a:ln>
          <a:effectLst/>
        </c:spPr>
      </c:pivotFmt>
      <c:pivotFmt>
        <c:idx val="1088"/>
        <c:spPr>
          <a:solidFill>
            <a:srgbClr val="FFD700"/>
          </a:solidFill>
          <a:ln>
            <a:noFill/>
          </a:ln>
          <a:effectLst/>
        </c:spPr>
      </c:pivotFmt>
      <c:pivotFmt>
        <c:idx val="1089"/>
        <c:spPr>
          <a:solidFill>
            <a:srgbClr val="FFD700"/>
          </a:solidFill>
          <a:ln>
            <a:noFill/>
          </a:ln>
          <a:effectLst/>
        </c:spPr>
      </c:pivotFmt>
      <c:pivotFmt>
        <c:idx val="1090"/>
        <c:spPr>
          <a:solidFill>
            <a:srgbClr val="FFD700"/>
          </a:solidFill>
          <a:ln>
            <a:noFill/>
          </a:ln>
          <a:effectLst/>
        </c:spPr>
      </c:pivotFmt>
      <c:pivotFmt>
        <c:idx val="1091"/>
        <c:spPr>
          <a:solidFill>
            <a:srgbClr val="FFD700"/>
          </a:solidFill>
          <a:ln>
            <a:noFill/>
          </a:ln>
          <a:effectLst/>
        </c:spPr>
      </c:pivotFmt>
      <c:pivotFmt>
        <c:idx val="1092"/>
        <c:spPr>
          <a:solidFill>
            <a:srgbClr val="FFD700"/>
          </a:solidFill>
          <a:ln>
            <a:noFill/>
          </a:ln>
          <a:effectLst/>
        </c:spPr>
      </c:pivotFmt>
      <c:pivotFmt>
        <c:idx val="1093"/>
        <c:spPr>
          <a:solidFill>
            <a:srgbClr val="FFD700"/>
          </a:solidFill>
          <a:ln>
            <a:noFill/>
          </a:ln>
          <a:effectLst/>
        </c:spPr>
      </c:pivotFmt>
      <c:pivotFmt>
        <c:idx val="1094"/>
        <c:spPr>
          <a:solidFill>
            <a:srgbClr val="FFD700"/>
          </a:solidFill>
          <a:ln>
            <a:noFill/>
          </a:ln>
          <a:effectLst/>
        </c:spPr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rgbClr val="00B050"/>
          </a:solidFill>
          <a:ln>
            <a:noFill/>
          </a:ln>
          <a:effectLst/>
        </c:spPr>
      </c:pivotFmt>
      <c:pivotFmt>
        <c:idx val="1097"/>
        <c:spPr>
          <a:solidFill>
            <a:srgbClr val="00B050"/>
          </a:solidFill>
          <a:ln>
            <a:noFill/>
          </a:ln>
          <a:effectLst/>
        </c:spPr>
      </c:pivotFmt>
      <c:pivotFmt>
        <c:idx val="1098"/>
        <c:spPr>
          <a:solidFill>
            <a:srgbClr val="00B050"/>
          </a:solidFill>
          <a:ln>
            <a:noFill/>
          </a:ln>
          <a:effectLst/>
        </c:spPr>
      </c:pivotFmt>
      <c:pivotFmt>
        <c:idx val="1099"/>
        <c:spPr>
          <a:solidFill>
            <a:srgbClr val="00B050"/>
          </a:solidFill>
          <a:ln>
            <a:noFill/>
          </a:ln>
          <a:effectLst/>
        </c:spPr>
      </c:pivotFmt>
      <c:pivotFmt>
        <c:idx val="1100"/>
        <c:spPr>
          <a:solidFill>
            <a:srgbClr val="00B050"/>
          </a:solidFill>
          <a:ln>
            <a:noFill/>
          </a:ln>
          <a:effectLst/>
        </c:spPr>
      </c:pivotFmt>
      <c:pivotFmt>
        <c:idx val="1101"/>
        <c:spPr>
          <a:solidFill>
            <a:srgbClr val="00B050"/>
          </a:solidFill>
          <a:ln>
            <a:noFill/>
          </a:ln>
          <a:effectLst/>
        </c:spPr>
      </c:pivotFmt>
      <c:pivotFmt>
        <c:idx val="1102"/>
        <c:spPr>
          <a:solidFill>
            <a:srgbClr val="00B050"/>
          </a:solidFill>
          <a:ln>
            <a:noFill/>
          </a:ln>
          <a:effectLst/>
        </c:spPr>
      </c:pivotFmt>
      <c:pivotFmt>
        <c:idx val="1103"/>
        <c:spPr>
          <a:solidFill>
            <a:srgbClr val="FFD700"/>
          </a:solidFill>
          <a:ln>
            <a:noFill/>
          </a:ln>
          <a:effectLst/>
        </c:spPr>
      </c:pivotFmt>
      <c:pivotFmt>
        <c:idx val="1104"/>
        <c:spPr>
          <a:solidFill>
            <a:srgbClr val="FFD700"/>
          </a:solidFill>
          <a:ln>
            <a:noFill/>
          </a:ln>
          <a:effectLst/>
        </c:spPr>
      </c:pivotFmt>
      <c:pivotFmt>
        <c:idx val="1105"/>
        <c:spPr>
          <a:solidFill>
            <a:srgbClr val="FFD700"/>
          </a:solidFill>
          <a:ln>
            <a:noFill/>
          </a:ln>
          <a:effectLst/>
        </c:spPr>
      </c:pivotFmt>
      <c:pivotFmt>
        <c:idx val="1106"/>
        <c:spPr>
          <a:solidFill>
            <a:srgbClr val="FFD700"/>
          </a:solidFill>
          <a:ln>
            <a:noFill/>
          </a:ln>
          <a:effectLst/>
        </c:spPr>
      </c:pivotFmt>
      <c:pivotFmt>
        <c:idx val="1107"/>
        <c:spPr>
          <a:solidFill>
            <a:srgbClr val="FFD700"/>
          </a:solidFill>
          <a:ln>
            <a:noFill/>
          </a:ln>
          <a:effectLst/>
        </c:spPr>
      </c:pivotFmt>
      <c:pivotFmt>
        <c:idx val="1108"/>
        <c:spPr>
          <a:solidFill>
            <a:srgbClr val="FFD700"/>
          </a:solidFill>
          <a:ln>
            <a:noFill/>
          </a:ln>
          <a:effectLst/>
        </c:spPr>
      </c:pivotFmt>
      <c:pivotFmt>
        <c:idx val="1109"/>
        <c:spPr>
          <a:solidFill>
            <a:srgbClr val="FFD700"/>
          </a:solidFill>
          <a:ln>
            <a:noFill/>
          </a:ln>
          <a:effectLst/>
        </c:spPr>
      </c:pivotFmt>
      <c:pivotFmt>
        <c:idx val="1110"/>
        <c:spPr>
          <a:solidFill>
            <a:srgbClr val="FFD700"/>
          </a:solidFill>
          <a:ln>
            <a:noFill/>
          </a:ln>
          <a:effectLst/>
        </c:spPr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rgbClr val="00B050"/>
          </a:solidFill>
          <a:ln>
            <a:noFill/>
          </a:ln>
          <a:effectLst/>
        </c:spPr>
      </c:pivotFmt>
      <c:pivotFmt>
        <c:idx val="1113"/>
        <c:spPr>
          <a:solidFill>
            <a:srgbClr val="00B050"/>
          </a:solidFill>
          <a:ln>
            <a:noFill/>
          </a:ln>
          <a:effectLst/>
        </c:spPr>
      </c:pivotFmt>
      <c:pivotFmt>
        <c:idx val="1114"/>
        <c:spPr>
          <a:solidFill>
            <a:srgbClr val="00B050"/>
          </a:solidFill>
          <a:ln>
            <a:noFill/>
          </a:ln>
          <a:effectLst/>
        </c:spPr>
      </c:pivotFmt>
      <c:pivotFmt>
        <c:idx val="1115"/>
        <c:spPr>
          <a:solidFill>
            <a:srgbClr val="00B050"/>
          </a:solidFill>
          <a:ln>
            <a:noFill/>
          </a:ln>
          <a:effectLst/>
        </c:spPr>
      </c:pivotFmt>
      <c:pivotFmt>
        <c:idx val="1116"/>
        <c:spPr>
          <a:solidFill>
            <a:srgbClr val="00B050"/>
          </a:solidFill>
          <a:ln>
            <a:noFill/>
          </a:ln>
          <a:effectLst/>
        </c:spPr>
      </c:pivotFmt>
      <c:pivotFmt>
        <c:idx val="1117"/>
        <c:spPr>
          <a:solidFill>
            <a:srgbClr val="00B050"/>
          </a:solidFill>
          <a:ln>
            <a:noFill/>
          </a:ln>
          <a:effectLst/>
        </c:spPr>
      </c:pivotFmt>
      <c:pivotFmt>
        <c:idx val="1118"/>
        <c:spPr>
          <a:solidFill>
            <a:srgbClr val="00B050"/>
          </a:solidFill>
          <a:ln>
            <a:noFill/>
          </a:ln>
          <a:effectLst/>
        </c:spPr>
      </c:pivotFmt>
      <c:pivotFmt>
        <c:idx val="1119"/>
        <c:spPr>
          <a:solidFill>
            <a:srgbClr val="FFD700"/>
          </a:solidFill>
          <a:ln>
            <a:noFill/>
          </a:ln>
          <a:effectLst/>
        </c:spPr>
      </c:pivotFmt>
      <c:pivotFmt>
        <c:idx val="1120"/>
        <c:spPr>
          <a:solidFill>
            <a:srgbClr val="FFD700"/>
          </a:solidFill>
          <a:ln>
            <a:noFill/>
          </a:ln>
          <a:effectLst/>
        </c:spPr>
      </c:pivotFmt>
      <c:pivotFmt>
        <c:idx val="1121"/>
        <c:spPr>
          <a:solidFill>
            <a:srgbClr val="FFD700"/>
          </a:solidFill>
          <a:ln>
            <a:noFill/>
          </a:ln>
          <a:effectLst/>
        </c:spPr>
      </c:pivotFmt>
      <c:pivotFmt>
        <c:idx val="1122"/>
        <c:spPr>
          <a:solidFill>
            <a:srgbClr val="FFD700"/>
          </a:solidFill>
          <a:ln>
            <a:noFill/>
          </a:ln>
          <a:effectLst/>
        </c:spPr>
      </c:pivotFmt>
      <c:pivotFmt>
        <c:idx val="1123"/>
        <c:spPr>
          <a:solidFill>
            <a:srgbClr val="FFD700"/>
          </a:solidFill>
          <a:ln>
            <a:noFill/>
          </a:ln>
          <a:effectLst/>
        </c:spPr>
      </c:pivotFmt>
      <c:pivotFmt>
        <c:idx val="1124"/>
        <c:spPr>
          <a:solidFill>
            <a:srgbClr val="FFD700"/>
          </a:solidFill>
          <a:ln>
            <a:noFill/>
          </a:ln>
          <a:effectLst/>
        </c:spPr>
      </c:pivotFmt>
      <c:pivotFmt>
        <c:idx val="1125"/>
        <c:spPr>
          <a:solidFill>
            <a:srgbClr val="FFD700"/>
          </a:solidFill>
          <a:ln>
            <a:noFill/>
          </a:ln>
          <a:effectLst/>
        </c:spPr>
      </c:pivotFmt>
      <c:pivotFmt>
        <c:idx val="1126"/>
        <c:spPr>
          <a:solidFill>
            <a:srgbClr val="FFD700"/>
          </a:solidFill>
          <a:ln>
            <a:noFill/>
          </a:ln>
          <a:effectLst/>
        </c:spPr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rgbClr val="00B050"/>
          </a:solidFill>
          <a:ln>
            <a:noFill/>
          </a:ln>
          <a:effectLst/>
        </c:spPr>
      </c:pivotFmt>
      <c:pivotFmt>
        <c:idx val="1129"/>
        <c:spPr>
          <a:solidFill>
            <a:srgbClr val="00B050"/>
          </a:solidFill>
          <a:ln>
            <a:noFill/>
          </a:ln>
          <a:effectLst/>
        </c:spPr>
      </c:pivotFmt>
      <c:pivotFmt>
        <c:idx val="1130"/>
        <c:spPr>
          <a:solidFill>
            <a:srgbClr val="00B050"/>
          </a:solidFill>
          <a:ln>
            <a:noFill/>
          </a:ln>
          <a:effectLst/>
        </c:spPr>
      </c:pivotFmt>
      <c:pivotFmt>
        <c:idx val="1131"/>
        <c:spPr>
          <a:solidFill>
            <a:srgbClr val="00B050"/>
          </a:solidFill>
          <a:ln>
            <a:noFill/>
          </a:ln>
          <a:effectLst/>
        </c:spPr>
      </c:pivotFmt>
      <c:pivotFmt>
        <c:idx val="1132"/>
        <c:spPr>
          <a:solidFill>
            <a:srgbClr val="00B050"/>
          </a:solidFill>
          <a:ln>
            <a:noFill/>
          </a:ln>
          <a:effectLst/>
        </c:spPr>
      </c:pivotFmt>
      <c:pivotFmt>
        <c:idx val="1133"/>
        <c:spPr>
          <a:solidFill>
            <a:srgbClr val="00B050"/>
          </a:solidFill>
          <a:ln>
            <a:noFill/>
          </a:ln>
          <a:effectLst/>
        </c:spPr>
      </c:pivotFmt>
      <c:pivotFmt>
        <c:idx val="1134"/>
        <c:spPr>
          <a:solidFill>
            <a:srgbClr val="00B050"/>
          </a:solidFill>
          <a:ln>
            <a:noFill/>
          </a:ln>
          <a:effectLst/>
        </c:spPr>
      </c:pivotFmt>
      <c:pivotFmt>
        <c:idx val="1135"/>
        <c:spPr>
          <a:solidFill>
            <a:srgbClr val="FFD700"/>
          </a:solidFill>
          <a:ln>
            <a:noFill/>
          </a:ln>
          <a:effectLst/>
        </c:spPr>
      </c:pivotFmt>
      <c:pivotFmt>
        <c:idx val="1136"/>
        <c:spPr>
          <a:solidFill>
            <a:srgbClr val="FFD700"/>
          </a:solidFill>
          <a:ln>
            <a:noFill/>
          </a:ln>
          <a:effectLst/>
        </c:spPr>
      </c:pivotFmt>
      <c:pivotFmt>
        <c:idx val="1137"/>
        <c:spPr>
          <a:solidFill>
            <a:srgbClr val="FFD700"/>
          </a:solidFill>
          <a:ln>
            <a:noFill/>
          </a:ln>
          <a:effectLst/>
        </c:spPr>
      </c:pivotFmt>
      <c:pivotFmt>
        <c:idx val="1138"/>
        <c:spPr>
          <a:solidFill>
            <a:srgbClr val="FFD700"/>
          </a:solidFill>
          <a:ln>
            <a:noFill/>
          </a:ln>
          <a:effectLst/>
        </c:spPr>
      </c:pivotFmt>
      <c:pivotFmt>
        <c:idx val="1139"/>
        <c:spPr>
          <a:solidFill>
            <a:srgbClr val="FFD700"/>
          </a:solidFill>
          <a:ln>
            <a:noFill/>
          </a:ln>
          <a:effectLst/>
        </c:spPr>
      </c:pivotFmt>
      <c:pivotFmt>
        <c:idx val="1140"/>
        <c:spPr>
          <a:solidFill>
            <a:srgbClr val="FFD700"/>
          </a:solidFill>
          <a:ln>
            <a:noFill/>
          </a:ln>
          <a:effectLst/>
        </c:spPr>
      </c:pivotFmt>
      <c:pivotFmt>
        <c:idx val="1141"/>
        <c:spPr>
          <a:solidFill>
            <a:srgbClr val="FFD700"/>
          </a:solidFill>
          <a:ln>
            <a:noFill/>
          </a:ln>
          <a:effectLst/>
        </c:spPr>
      </c:pivotFmt>
      <c:pivotFmt>
        <c:idx val="1142"/>
        <c:spPr>
          <a:solidFill>
            <a:srgbClr val="FFD700"/>
          </a:solidFill>
          <a:ln>
            <a:noFill/>
          </a:ln>
          <a:effectLst/>
        </c:spPr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rgbClr val="00B050"/>
          </a:solidFill>
          <a:ln>
            <a:noFill/>
          </a:ln>
          <a:effectLst/>
        </c:spPr>
      </c:pivotFmt>
      <c:pivotFmt>
        <c:idx val="1145"/>
        <c:spPr>
          <a:solidFill>
            <a:srgbClr val="00B050"/>
          </a:solidFill>
          <a:ln>
            <a:noFill/>
          </a:ln>
          <a:effectLst/>
        </c:spPr>
      </c:pivotFmt>
      <c:pivotFmt>
        <c:idx val="1146"/>
        <c:spPr>
          <a:solidFill>
            <a:srgbClr val="00B050"/>
          </a:solidFill>
          <a:ln>
            <a:noFill/>
          </a:ln>
          <a:effectLst/>
        </c:spPr>
      </c:pivotFmt>
      <c:pivotFmt>
        <c:idx val="1147"/>
        <c:spPr>
          <a:solidFill>
            <a:srgbClr val="00B050"/>
          </a:solidFill>
          <a:ln>
            <a:noFill/>
          </a:ln>
          <a:effectLst/>
        </c:spPr>
      </c:pivotFmt>
      <c:pivotFmt>
        <c:idx val="1148"/>
        <c:spPr>
          <a:solidFill>
            <a:srgbClr val="00B050"/>
          </a:solidFill>
          <a:ln>
            <a:noFill/>
          </a:ln>
          <a:effectLst/>
        </c:spPr>
      </c:pivotFmt>
      <c:pivotFmt>
        <c:idx val="1149"/>
        <c:spPr>
          <a:solidFill>
            <a:srgbClr val="00B050"/>
          </a:solidFill>
          <a:ln>
            <a:noFill/>
          </a:ln>
          <a:effectLst/>
        </c:spPr>
      </c:pivotFmt>
      <c:pivotFmt>
        <c:idx val="1150"/>
        <c:spPr>
          <a:solidFill>
            <a:srgbClr val="00B050"/>
          </a:solidFill>
          <a:ln>
            <a:noFill/>
          </a:ln>
          <a:effectLst/>
        </c:spPr>
      </c:pivotFmt>
      <c:pivotFmt>
        <c:idx val="1151"/>
        <c:spPr>
          <a:solidFill>
            <a:srgbClr val="FFD700"/>
          </a:solidFill>
          <a:ln>
            <a:noFill/>
          </a:ln>
          <a:effectLst/>
        </c:spPr>
      </c:pivotFmt>
      <c:pivotFmt>
        <c:idx val="1152"/>
        <c:spPr>
          <a:solidFill>
            <a:srgbClr val="FFD700"/>
          </a:solidFill>
          <a:ln>
            <a:noFill/>
          </a:ln>
          <a:effectLst/>
        </c:spPr>
      </c:pivotFmt>
      <c:pivotFmt>
        <c:idx val="1153"/>
        <c:spPr>
          <a:solidFill>
            <a:srgbClr val="FFD700"/>
          </a:solidFill>
          <a:ln>
            <a:noFill/>
          </a:ln>
          <a:effectLst/>
        </c:spPr>
      </c:pivotFmt>
      <c:pivotFmt>
        <c:idx val="1154"/>
        <c:spPr>
          <a:solidFill>
            <a:srgbClr val="FFD700"/>
          </a:solidFill>
          <a:ln>
            <a:noFill/>
          </a:ln>
          <a:effectLst/>
        </c:spPr>
      </c:pivotFmt>
      <c:pivotFmt>
        <c:idx val="1155"/>
        <c:spPr>
          <a:solidFill>
            <a:srgbClr val="FFD700"/>
          </a:solidFill>
          <a:ln>
            <a:noFill/>
          </a:ln>
          <a:effectLst/>
        </c:spPr>
      </c:pivotFmt>
      <c:pivotFmt>
        <c:idx val="1156"/>
        <c:spPr>
          <a:solidFill>
            <a:srgbClr val="FFD700"/>
          </a:solidFill>
          <a:ln>
            <a:noFill/>
          </a:ln>
          <a:effectLst/>
        </c:spPr>
      </c:pivotFmt>
      <c:pivotFmt>
        <c:idx val="1157"/>
        <c:spPr>
          <a:solidFill>
            <a:srgbClr val="FFD700"/>
          </a:solidFill>
          <a:ln>
            <a:noFill/>
          </a:ln>
          <a:effectLst/>
        </c:spPr>
      </c:pivotFmt>
      <c:pivotFmt>
        <c:idx val="1158"/>
        <c:spPr>
          <a:solidFill>
            <a:srgbClr val="FFD700"/>
          </a:solidFill>
          <a:ln>
            <a:noFill/>
          </a:ln>
          <a:effectLst/>
        </c:spPr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rgbClr val="00B050"/>
          </a:solidFill>
          <a:ln>
            <a:noFill/>
          </a:ln>
          <a:effectLst/>
        </c:spPr>
      </c:pivotFmt>
      <c:pivotFmt>
        <c:idx val="1161"/>
        <c:spPr>
          <a:solidFill>
            <a:srgbClr val="00B050"/>
          </a:solidFill>
          <a:ln>
            <a:noFill/>
          </a:ln>
          <a:effectLst/>
        </c:spPr>
      </c:pivotFmt>
      <c:pivotFmt>
        <c:idx val="1162"/>
        <c:spPr>
          <a:solidFill>
            <a:srgbClr val="00B050"/>
          </a:solidFill>
          <a:ln>
            <a:noFill/>
          </a:ln>
          <a:effectLst/>
        </c:spPr>
      </c:pivotFmt>
      <c:pivotFmt>
        <c:idx val="1163"/>
        <c:spPr>
          <a:solidFill>
            <a:srgbClr val="00B050"/>
          </a:solidFill>
          <a:ln>
            <a:noFill/>
          </a:ln>
          <a:effectLst/>
        </c:spPr>
      </c:pivotFmt>
      <c:pivotFmt>
        <c:idx val="1164"/>
        <c:spPr>
          <a:solidFill>
            <a:srgbClr val="00B050"/>
          </a:solidFill>
          <a:ln>
            <a:noFill/>
          </a:ln>
          <a:effectLst/>
        </c:spPr>
      </c:pivotFmt>
      <c:pivotFmt>
        <c:idx val="1165"/>
        <c:spPr>
          <a:solidFill>
            <a:srgbClr val="00B050"/>
          </a:solidFill>
          <a:ln>
            <a:noFill/>
          </a:ln>
          <a:effectLst/>
        </c:spPr>
      </c:pivotFmt>
      <c:pivotFmt>
        <c:idx val="1166"/>
        <c:spPr>
          <a:solidFill>
            <a:srgbClr val="00B050"/>
          </a:solidFill>
          <a:ln>
            <a:noFill/>
          </a:ln>
          <a:effectLst/>
        </c:spPr>
      </c:pivotFmt>
      <c:pivotFmt>
        <c:idx val="1167"/>
        <c:spPr>
          <a:solidFill>
            <a:srgbClr val="FFD700"/>
          </a:solidFill>
          <a:ln>
            <a:noFill/>
          </a:ln>
          <a:effectLst/>
        </c:spPr>
      </c:pivotFmt>
      <c:pivotFmt>
        <c:idx val="1168"/>
        <c:spPr>
          <a:solidFill>
            <a:srgbClr val="FFD700"/>
          </a:solidFill>
          <a:ln>
            <a:noFill/>
          </a:ln>
          <a:effectLst/>
        </c:spPr>
      </c:pivotFmt>
      <c:pivotFmt>
        <c:idx val="1169"/>
        <c:spPr>
          <a:solidFill>
            <a:srgbClr val="FFD700"/>
          </a:solidFill>
          <a:ln>
            <a:noFill/>
          </a:ln>
          <a:effectLst/>
        </c:spPr>
      </c:pivotFmt>
      <c:pivotFmt>
        <c:idx val="1170"/>
        <c:spPr>
          <a:solidFill>
            <a:srgbClr val="FFD700"/>
          </a:solidFill>
          <a:ln>
            <a:noFill/>
          </a:ln>
          <a:effectLst/>
        </c:spPr>
      </c:pivotFmt>
      <c:pivotFmt>
        <c:idx val="1171"/>
        <c:spPr>
          <a:solidFill>
            <a:srgbClr val="FFD700"/>
          </a:solidFill>
          <a:ln>
            <a:noFill/>
          </a:ln>
          <a:effectLst/>
        </c:spPr>
      </c:pivotFmt>
      <c:pivotFmt>
        <c:idx val="1172"/>
        <c:spPr>
          <a:solidFill>
            <a:srgbClr val="FFD700"/>
          </a:solidFill>
          <a:ln>
            <a:noFill/>
          </a:ln>
          <a:effectLst/>
        </c:spPr>
      </c:pivotFmt>
      <c:pivotFmt>
        <c:idx val="1173"/>
        <c:spPr>
          <a:solidFill>
            <a:srgbClr val="FFD700"/>
          </a:solidFill>
          <a:ln>
            <a:noFill/>
          </a:ln>
          <a:effectLst/>
        </c:spPr>
      </c:pivotFmt>
      <c:pivotFmt>
        <c:idx val="1174"/>
        <c:spPr>
          <a:solidFill>
            <a:srgbClr val="FFD700"/>
          </a:solidFill>
          <a:ln>
            <a:noFill/>
          </a:ln>
          <a:effectLst/>
        </c:spPr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rgbClr val="00B050"/>
          </a:solidFill>
          <a:ln>
            <a:noFill/>
          </a:ln>
          <a:effectLst/>
        </c:spPr>
      </c:pivotFmt>
      <c:pivotFmt>
        <c:idx val="1177"/>
        <c:spPr>
          <a:solidFill>
            <a:srgbClr val="00B050"/>
          </a:solidFill>
          <a:ln>
            <a:noFill/>
          </a:ln>
          <a:effectLst/>
        </c:spPr>
      </c:pivotFmt>
      <c:pivotFmt>
        <c:idx val="1178"/>
        <c:spPr>
          <a:solidFill>
            <a:srgbClr val="00B050"/>
          </a:solidFill>
          <a:ln>
            <a:noFill/>
          </a:ln>
          <a:effectLst/>
        </c:spPr>
      </c:pivotFmt>
      <c:pivotFmt>
        <c:idx val="1179"/>
        <c:spPr>
          <a:solidFill>
            <a:srgbClr val="00B050"/>
          </a:solidFill>
          <a:ln>
            <a:noFill/>
          </a:ln>
          <a:effectLst/>
        </c:spPr>
      </c:pivotFmt>
      <c:pivotFmt>
        <c:idx val="1180"/>
        <c:spPr>
          <a:solidFill>
            <a:srgbClr val="00B050"/>
          </a:solidFill>
          <a:ln>
            <a:noFill/>
          </a:ln>
          <a:effectLst/>
        </c:spPr>
      </c:pivotFmt>
      <c:pivotFmt>
        <c:idx val="1181"/>
        <c:spPr>
          <a:solidFill>
            <a:srgbClr val="00B050"/>
          </a:solidFill>
          <a:ln>
            <a:noFill/>
          </a:ln>
          <a:effectLst/>
        </c:spPr>
      </c:pivotFmt>
      <c:pivotFmt>
        <c:idx val="1182"/>
        <c:spPr>
          <a:solidFill>
            <a:srgbClr val="00B050"/>
          </a:solidFill>
          <a:ln>
            <a:noFill/>
          </a:ln>
          <a:effectLst/>
        </c:spPr>
      </c:pivotFmt>
      <c:pivotFmt>
        <c:idx val="1183"/>
        <c:spPr>
          <a:solidFill>
            <a:srgbClr val="FFD700"/>
          </a:solidFill>
          <a:ln>
            <a:noFill/>
          </a:ln>
          <a:effectLst/>
        </c:spPr>
      </c:pivotFmt>
      <c:pivotFmt>
        <c:idx val="1184"/>
        <c:spPr>
          <a:solidFill>
            <a:srgbClr val="FFD700"/>
          </a:solidFill>
          <a:ln>
            <a:noFill/>
          </a:ln>
          <a:effectLst/>
        </c:spPr>
      </c:pivotFmt>
      <c:pivotFmt>
        <c:idx val="1185"/>
        <c:spPr>
          <a:solidFill>
            <a:srgbClr val="FFD700"/>
          </a:solidFill>
          <a:ln>
            <a:noFill/>
          </a:ln>
          <a:effectLst/>
        </c:spPr>
      </c:pivotFmt>
      <c:pivotFmt>
        <c:idx val="1186"/>
        <c:spPr>
          <a:solidFill>
            <a:srgbClr val="FFD700"/>
          </a:solidFill>
          <a:ln>
            <a:noFill/>
          </a:ln>
          <a:effectLst/>
        </c:spPr>
      </c:pivotFmt>
      <c:pivotFmt>
        <c:idx val="1187"/>
        <c:spPr>
          <a:solidFill>
            <a:srgbClr val="FFD700"/>
          </a:solidFill>
          <a:ln>
            <a:noFill/>
          </a:ln>
          <a:effectLst/>
        </c:spPr>
      </c:pivotFmt>
      <c:pivotFmt>
        <c:idx val="1188"/>
        <c:spPr>
          <a:solidFill>
            <a:srgbClr val="FFD700"/>
          </a:solidFill>
          <a:ln>
            <a:noFill/>
          </a:ln>
          <a:effectLst/>
        </c:spPr>
      </c:pivotFmt>
      <c:pivotFmt>
        <c:idx val="1189"/>
        <c:spPr>
          <a:solidFill>
            <a:srgbClr val="FFD700"/>
          </a:solidFill>
          <a:ln>
            <a:noFill/>
          </a:ln>
          <a:effectLst/>
        </c:spPr>
      </c:pivotFmt>
      <c:pivotFmt>
        <c:idx val="1190"/>
        <c:spPr>
          <a:solidFill>
            <a:srgbClr val="FFD700"/>
          </a:solidFill>
          <a:ln>
            <a:noFill/>
          </a:ln>
          <a:effectLst/>
        </c:spPr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rgbClr val="00B050"/>
          </a:solidFill>
          <a:ln>
            <a:noFill/>
          </a:ln>
          <a:effectLst/>
        </c:spPr>
      </c:pivotFmt>
      <c:pivotFmt>
        <c:idx val="1193"/>
        <c:spPr>
          <a:solidFill>
            <a:srgbClr val="00B050"/>
          </a:solidFill>
          <a:ln>
            <a:noFill/>
          </a:ln>
          <a:effectLst/>
        </c:spPr>
      </c:pivotFmt>
      <c:pivotFmt>
        <c:idx val="1194"/>
        <c:spPr>
          <a:solidFill>
            <a:srgbClr val="00B050"/>
          </a:solidFill>
          <a:ln>
            <a:noFill/>
          </a:ln>
          <a:effectLst/>
        </c:spPr>
      </c:pivotFmt>
      <c:pivotFmt>
        <c:idx val="1195"/>
        <c:spPr>
          <a:solidFill>
            <a:srgbClr val="00B050"/>
          </a:solidFill>
          <a:ln>
            <a:noFill/>
          </a:ln>
          <a:effectLst/>
        </c:spPr>
      </c:pivotFmt>
      <c:pivotFmt>
        <c:idx val="1196"/>
        <c:spPr>
          <a:solidFill>
            <a:srgbClr val="00B050"/>
          </a:solidFill>
          <a:ln>
            <a:noFill/>
          </a:ln>
          <a:effectLst/>
        </c:spPr>
      </c:pivotFmt>
      <c:pivotFmt>
        <c:idx val="1197"/>
        <c:spPr>
          <a:solidFill>
            <a:srgbClr val="00B050"/>
          </a:solidFill>
          <a:ln>
            <a:noFill/>
          </a:ln>
          <a:effectLst/>
        </c:spPr>
      </c:pivotFmt>
      <c:pivotFmt>
        <c:idx val="1198"/>
        <c:spPr>
          <a:solidFill>
            <a:srgbClr val="00B050"/>
          </a:solidFill>
          <a:ln>
            <a:noFill/>
          </a:ln>
          <a:effectLst/>
        </c:spPr>
      </c:pivotFmt>
      <c:pivotFmt>
        <c:idx val="1199"/>
        <c:spPr>
          <a:solidFill>
            <a:srgbClr val="FFD700"/>
          </a:solidFill>
          <a:ln>
            <a:noFill/>
          </a:ln>
          <a:effectLst/>
        </c:spPr>
      </c:pivotFmt>
      <c:pivotFmt>
        <c:idx val="1200"/>
        <c:spPr>
          <a:solidFill>
            <a:srgbClr val="FFD700"/>
          </a:solidFill>
          <a:ln>
            <a:noFill/>
          </a:ln>
          <a:effectLst/>
        </c:spPr>
      </c:pivotFmt>
      <c:pivotFmt>
        <c:idx val="1201"/>
        <c:spPr>
          <a:solidFill>
            <a:srgbClr val="FFD700"/>
          </a:solidFill>
          <a:ln>
            <a:noFill/>
          </a:ln>
          <a:effectLst/>
        </c:spPr>
      </c:pivotFmt>
      <c:pivotFmt>
        <c:idx val="1202"/>
        <c:spPr>
          <a:solidFill>
            <a:srgbClr val="FFD700"/>
          </a:solidFill>
          <a:ln>
            <a:noFill/>
          </a:ln>
          <a:effectLst/>
        </c:spPr>
      </c:pivotFmt>
      <c:pivotFmt>
        <c:idx val="1203"/>
        <c:spPr>
          <a:solidFill>
            <a:srgbClr val="FFD700"/>
          </a:solidFill>
          <a:ln>
            <a:noFill/>
          </a:ln>
          <a:effectLst/>
        </c:spPr>
      </c:pivotFmt>
      <c:pivotFmt>
        <c:idx val="1204"/>
        <c:spPr>
          <a:solidFill>
            <a:srgbClr val="FFD700"/>
          </a:solidFill>
          <a:ln>
            <a:noFill/>
          </a:ln>
          <a:effectLst/>
        </c:spPr>
      </c:pivotFmt>
      <c:pivotFmt>
        <c:idx val="1205"/>
        <c:spPr>
          <a:solidFill>
            <a:srgbClr val="FFD700"/>
          </a:solidFill>
          <a:ln>
            <a:noFill/>
          </a:ln>
          <a:effectLst/>
        </c:spPr>
      </c:pivotFmt>
      <c:pivotFmt>
        <c:idx val="1206"/>
        <c:spPr>
          <a:solidFill>
            <a:srgbClr val="FFD700"/>
          </a:solidFill>
          <a:ln>
            <a:noFill/>
          </a:ln>
          <a:effectLst/>
        </c:spPr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rgbClr val="00B050"/>
          </a:solidFill>
          <a:ln>
            <a:noFill/>
          </a:ln>
          <a:effectLst/>
        </c:spPr>
      </c:pivotFmt>
      <c:pivotFmt>
        <c:idx val="1209"/>
        <c:spPr>
          <a:solidFill>
            <a:srgbClr val="00B050"/>
          </a:solidFill>
          <a:ln>
            <a:noFill/>
          </a:ln>
          <a:effectLst/>
        </c:spPr>
      </c:pivotFmt>
      <c:pivotFmt>
        <c:idx val="1210"/>
        <c:spPr>
          <a:solidFill>
            <a:srgbClr val="00B050"/>
          </a:solidFill>
          <a:ln>
            <a:noFill/>
          </a:ln>
          <a:effectLst/>
        </c:spPr>
      </c:pivotFmt>
      <c:pivotFmt>
        <c:idx val="1211"/>
        <c:spPr>
          <a:solidFill>
            <a:srgbClr val="00B050"/>
          </a:solidFill>
          <a:ln>
            <a:noFill/>
          </a:ln>
          <a:effectLst/>
        </c:spPr>
      </c:pivotFmt>
      <c:pivotFmt>
        <c:idx val="1212"/>
        <c:spPr>
          <a:solidFill>
            <a:srgbClr val="00B050"/>
          </a:solidFill>
          <a:ln>
            <a:noFill/>
          </a:ln>
          <a:effectLst/>
        </c:spPr>
      </c:pivotFmt>
      <c:pivotFmt>
        <c:idx val="1213"/>
        <c:spPr>
          <a:solidFill>
            <a:srgbClr val="00B050"/>
          </a:solidFill>
          <a:ln>
            <a:noFill/>
          </a:ln>
          <a:effectLst/>
        </c:spPr>
      </c:pivotFmt>
      <c:pivotFmt>
        <c:idx val="1214"/>
        <c:spPr>
          <a:solidFill>
            <a:srgbClr val="00B050"/>
          </a:solidFill>
          <a:ln>
            <a:noFill/>
          </a:ln>
          <a:effectLst/>
        </c:spPr>
      </c:pivotFmt>
      <c:pivotFmt>
        <c:idx val="1215"/>
        <c:spPr>
          <a:solidFill>
            <a:srgbClr val="FFD700"/>
          </a:solidFill>
          <a:ln>
            <a:noFill/>
          </a:ln>
          <a:effectLst/>
        </c:spPr>
      </c:pivotFmt>
      <c:pivotFmt>
        <c:idx val="1216"/>
        <c:spPr>
          <a:solidFill>
            <a:srgbClr val="FFD700"/>
          </a:solidFill>
          <a:ln>
            <a:noFill/>
          </a:ln>
          <a:effectLst/>
        </c:spPr>
      </c:pivotFmt>
      <c:pivotFmt>
        <c:idx val="1217"/>
        <c:spPr>
          <a:solidFill>
            <a:srgbClr val="FFD700"/>
          </a:solidFill>
          <a:ln>
            <a:noFill/>
          </a:ln>
          <a:effectLst/>
        </c:spPr>
      </c:pivotFmt>
      <c:pivotFmt>
        <c:idx val="1218"/>
        <c:spPr>
          <a:solidFill>
            <a:srgbClr val="FFD700"/>
          </a:solidFill>
          <a:ln>
            <a:noFill/>
          </a:ln>
          <a:effectLst/>
        </c:spPr>
      </c:pivotFmt>
      <c:pivotFmt>
        <c:idx val="1219"/>
        <c:spPr>
          <a:solidFill>
            <a:srgbClr val="FFD700"/>
          </a:solidFill>
          <a:ln>
            <a:noFill/>
          </a:ln>
          <a:effectLst/>
        </c:spPr>
      </c:pivotFmt>
      <c:pivotFmt>
        <c:idx val="1220"/>
        <c:spPr>
          <a:solidFill>
            <a:srgbClr val="FFD700"/>
          </a:solidFill>
          <a:ln>
            <a:noFill/>
          </a:ln>
          <a:effectLst/>
        </c:spPr>
      </c:pivotFmt>
      <c:pivotFmt>
        <c:idx val="1221"/>
        <c:spPr>
          <a:solidFill>
            <a:srgbClr val="FFD700"/>
          </a:solidFill>
          <a:ln>
            <a:noFill/>
          </a:ln>
          <a:effectLst/>
        </c:spPr>
      </c:pivotFmt>
      <c:pivotFmt>
        <c:idx val="1222"/>
        <c:spPr>
          <a:solidFill>
            <a:srgbClr val="FFD700"/>
          </a:solidFill>
          <a:ln>
            <a:noFill/>
          </a:ln>
          <a:effectLst/>
        </c:spPr>
      </c:pivotFmt>
      <c:pivotFmt>
        <c:idx val="1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4"/>
        <c:spPr>
          <a:solidFill>
            <a:srgbClr val="00B050"/>
          </a:solidFill>
          <a:ln>
            <a:noFill/>
          </a:ln>
          <a:effectLst/>
        </c:spPr>
      </c:pivotFmt>
      <c:pivotFmt>
        <c:idx val="1225"/>
        <c:spPr>
          <a:solidFill>
            <a:srgbClr val="00B050"/>
          </a:solidFill>
          <a:ln>
            <a:noFill/>
          </a:ln>
          <a:effectLst/>
        </c:spPr>
      </c:pivotFmt>
      <c:pivotFmt>
        <c:idx val="1226"/>
        <c:spPr>
          <a:solidFill>
            <a:srgbClr val="00B050"/>
          </a:solidFill>
          <a:ln>
            <a:noFill/>
          </a:ln>
          <a:effectLst/>
        </c:spPr>
      </c:pivotFmt>
      <c:pivotFmt>
        <c:idx val="1227"/>
        <c:spPr>
          <a:solidFill>
            <a:srgbClr val="00B050"/>
          </a:solidFill>
          <a:ln>
            <a:noFill/>
          </a:ln>
          <a:effectLst/>
        </c:spPr>
      </c:pivotFmt>
      <c:pivotFmt>
        <c:idx val="1228"/>
        <c:spPr>
          <a:solidFill>
            <a:srgbClr val="00B050"/>
          </a:solidFill>
          <a:ln>
            <a:noFill/>
          </a:ln>
          <a:effectLst/>
        </c:spPr>
      </c:pivotFmt>
      <c:pivotFmt>
        <c:idx val="1229"/>
        <c:spPr>
          <a:solidFill>
            <a:srgbClr val="00B050"/>
          </a:solidFill>
          <a:ln>
            <a:noFill/>
          </a:ln>
          <a:effectLst/>
        </c:spPr>
      </c:pivotFmt>
      <c:pivotFmt>
        <c:idx val="1230"/>
        <c:spPr>
          <a:solidFill>
            <a:srgbClr val="00B050"/>
          </a:solidFill>
          <a:ln>
            <a:noFill/>
          </a:ln>
          <a:effectLst/>
        </c:spPr>
      </c:pivotFmt>
      <c:pivotFmt>
        <c:idx val="1231"/>
        <c:spPr>
          <a:solidFill>
            <a:srgbClr val="FFD700"/>
          </a:solidFill>
          <a:ln>
            <a:noFill/>
          </a:ln>
          <a:effectLst/>
        </c:spPr>
      </c:pivotFmt>
      <c:pivotFmt>
        <c:idx val="1232"/>
        <c:spPr>
          <a:solidFill>
            <a:srgbClr val="FFD700"/>
          </a:solidFill>
          <a:ln>
            <a:noFill/>
          </a:ln>
          <a:effectLst/>
        </c:spPr>
      </c:pivotFmt>
      <c:pivotFmt>
        <c:idx val="1233"/>
        <c:spPr>
          <a:solidFill>
            <a:srgbClr val="FFD700"/>
          </a:solidFill>
          <a:ln>
            <a:noFill/>
          </a:ln>
          <a:effectLst/>
        </c:spPr>
      </c:pivotFmt>
      <c:pivotFmt>
        <c:idx val="1234"/>
        <c:spPr>
          <a:solidFill>
            <a:srgbClr val="FFD700"/>
          </a:solidFill>
          <a:ln>
            <a:noFill/>
          </a:ln>
          <a:effectLst/>
        </c:spPr>
      </c:pivotFmt>
      <c:pivotFmt>
        <c:idx val="1235"/>
        <c:spPr>
          <a:solidFill>
            <a:srgbClr val="FFD700"/>
          </a:solidFill>
          <a:ln>
            <a:noFill/>
          </a:ln>
          <a:effectLst/>
        </c:spPr>
      </c:pivotFmt>
      <c:pivotFmt>
        <c:idx val="1236"/>
        <c:spPr>
          <a:solidFill>
            <a:srgbClr val="FFD700"/>
          </a:solidFill>
          <a:ln>
            <a:noFill/>
          </a:ln>
          <a:effectLst/>
        </c:spPr>
      </c:pivotFmt>
      <c:pivotFmt>
        <c:idx val="1237"/>
        <c:spPr>
          <a:solidFill>
            <a:srgbClr val="FFD700"/>
          </a:solidFill>
          <a:ln>
            <a:noFill/>
          </a:ln>
          <a:effectLst/>
        </c:spPr>
      </c:pivotFmt>
      <c:pivotFmt>
        <c:idx val="1238"/>
        <c:spPr>
          <a:solidFill>
            <a:srgbClr val="FFD700"/>
          </a:solidFill>
          <a:ln>
            <a:noFill/>
          </a:ln>
          <a:effectLst/>
        </c:spPr>
      </c:pivotFmt>
      <c:pivotFmt>
        <c:idx val="1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0"/>
        <c:spPr>
          <a:solidFill>
            <a:srgbClr val="00B050"/>
          </a:solidFill>
          <a:ln>
            <a:noFill/>
          </a:ln>
          <a:effectLst/>
        </c:spPr>
      </c:pivotFmt>
      <c:pivotFmt>
        <c:idx val="1241"/>
        <c:spPr>
          <a:solidFill>
            <a:srgbClr val="00B050"/>
          </a:solidFill>
          <a:ln>
            <a:noFill/>
          </a:ln>
          <a:effectLst/>
        </c:spPr>
      </c:pivotFmt>
      <c:pivotFmt>
        <c:idx val="1242"/>
        <c:spPr>
          <a:solidFill>
            <a:srgbClr val="00B050"/>
          </a:solidFill>
          <a:ln>
            <a:noFill/>
          </a:ln>
          <a:effectLst/>
        </c:spPr>
      </c:pivotFmt>
      <c:pivotFmt>
        <c:idx val="1243"/>
        <c:spPr>
          <a:solidFill>
            <a:srgbClr val="00B050"/>
          </a:solidFill>
          <a:ln>
            <a:noFill/>
          </a:ln>
          <a:effectLst/>
        </c:spPr>
      </c:pivotFmt>
      <c:pivotFmt>
        <c:idx val="1244"/>
        <c:spPr>
          <a:solidFill>
            <a:srgbClr val="00B050"/>
          </a:solidFill>
          <a:ln>
            <a:noFill/>
          </a:ln>
          <a:effectLst/>
        </c:spPr>
      </c:pivotFmt>
      <c:pivotFmt>
        <c:idx val="1245"/>
        <c:spPr>
          <a:solidFill>
            <a:srgbClr val="00B050"/>
          </a:solidFill>
          <a:ln>
            <a:noFill/>
          </a:ln>
          <a:effectLst/>
        </c:spPr>
      </c:pivotFmt>
      <c:pivotFmt>
        <c:idx val="1246"/>
        <c:spPr>
          <a:solidFill>
            <a:srgbClr val="00B050"/>
          </a:solidFill>
          <a:ln>
            <a:noFill/>
          </a:ln>
          <a:effectLst/>
        </c:spPr>
      </c:pivotFmt>
      <c:pivotFmt>
        <c:idx val="1247"/>
        <c:spPr>
          <a:solidFill>
            <a:srgbClr val="FFD700"/>
          </a:solidFill>
          <a:ln>
            <a:noFill/>
          </a:ln>
          <a:effectLst/>
        </c:spPr>
      </c:pivotFmt>
      <c:pivotFmt>
        <c:idx val="1248"/>
        <c:spPr>
          <a:solidFill>
            <a:srgbClr val="FFD700"/>
          </a:solidFill>
          <a:ln>
            <a:noFill/>
          </a:ln>
          <a:effectLst/>
        </c:spPr>
      </c:pivotFmt>
      <c:pivotFmt>
        <c:idx val="1249"/>
        <c:spPr>
          <a:solidFill>
            <a:srgbClr val="FFD700"/>
          </a:solidFill>
          <a:ln>
            <a:noFill/>
          </a:ln>
          <a:effectLst/>
        </c:spPr>
      </c:pivotFmt>
      <c:pivotFmt>
        <c:idx val="1250"/>
        <c:spPr>
          <a:solidFill>
            <a:srgbClr val="FFD700"/>
          </a:solidFill>
          <a:ln>
            <a:noFill/>
          </a:ln>
          <a:effectLst/>
        </c:spPr>
      </c:pivotFmt>
      <c:pivotFmt>
        <c:idx val="1251"/>
        <c:spPr>
          <a:solidFill>
            <a:srgbClr val="FFD700"/>
          </a:solidFill>
          <a:ln>
            <a:noFill/>
          </a:ln>
          <a:effectLst/>
        </c:spPr>
      </c:pivotFmt>
      <c:pivotFmt>
        <c:idx val="1252"/>
        <c:spPr>
          <a:solidFill>
            <a:srgbClr val="FFD700"/>
          </a:solidFill>
          <a:ln>
            <a:noFill/>
          </a:ln>
          <a:effectLst/>
        </c:spPr>
      </c:pivotFmt>
      <c:pivotFmt>
        <c:idx val="1253"/>
        <c:spPr>
          <a:solidFill>
            <a:srgbClr val="FFD700"/>
          </a:solidFill>
          <a:ln>
            <a:noFill/>
          </a:ln>
          <a:effectLst/>
        </c:spPr>
      </c:pivotFmt>
      <c:pivotFmt>
        <c:idx val="1254"/>
        <c:spPr>
          <a:solidFill>
            <a:srgbClr val="FFD700"/>
          </a:solidFill>
          <a:ln>
            <a:noFill/>
          </a:ln>
          <a:effectLst/>
        </c:spPr>
      </c:pivotFmt>
      <c:pivotFmt>
        <c:idx val="1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6"/>
        <c:spPr>
          <a:solidFill>
            <a:srgbClr val="00B050"/>
          </a:solidFill>
          <a:ln>
            <a:noFill/>
          </a:ln>
          <a:effectLst/>
        </c:spPr>
      </c:pivotFmt>
      <c:pivotFmt>
        <c:idx val="1257"/>
        <c:spPr>
          <a:solidFill>
            <a:srgbClr val="00B050"/>
          </a:solidFill>
          <a:ln>
            <a:noFill/>
          </a:ln>
          <a:effectLst/>
        </c:spPr>
      </c:pivotFmt>
      <c:pivotFmt>
        <c:idx val="1258"/>
        <c:spPr>
          <a:solidFill>
            <a:srgbClr val="00B050"/>
          </a:solidFill>
          <a:ln>
            <a:noFill/>
          </a:ln>
          <a:effectLst/>
        </c:spPr>
      </c:pivotFmt>
      <c:pivotFmt>
        <c:idx val="1259"/>
        <c:spPr>
          <a:solidFill>
            <a:srgbClr val="00B050"/>
          </a:solidFill>
          <a:ln>
            <a:noFill/>
          </a:ln>
          <a:effectLst/>
        </c:spPr>
      </c:pivotFmt>
      <c:pivotFmt>
        <c:idx val="1260"/>
        <c:spPr>
          <a:solidFill>
            <a:srgbClr val="00B050"/>
          </a:solidFill>
          <a:ln>
            <a:noFill/>
          </a:ln>
          <a:effectLst/>
        </c:spPr>
      </c:pivotFmt>
      <c:pivotFmt>
        <c:idx val="1261"/>
        <c:spPr>
          <a:solidFill>
            <a:srgbClr val="00B050"/>
          </a:solidFill>
          <a:ln>
            <a:noFill/>
          </a:ln>
          <a:effectLst/>
        </c:spPr>
      </c:pivotFmt>
      <c:pivotFmt>
        <c:idx val="1262"/>
        <c:spPr>
          <a:solidFill>
            <a:srgbClr val="00B050"/>
          </a:solidFill>
          <a:ln>
            <a:noFill/>
          </a:ln>
          <a:effectLst/>
        </c:spPr>
      </c:pivotFmt>
      <c:pivotFmt>
        <c:idx val="1263"/>
        <c:spPr>
          <a:solidFill>
            <a:srgbClr val="FFD700"/>
          </a:solidFill>
          <a:ln>
            <a:noFill/>
          </a:ln>
          <a:effectLst/>
        </c:spPr>
      </c:pivotFmt>
      <c:pivotFmt>
        <c:idx val="1264"/>
        <c:spPr>
          <a:solidFill>
            <a:srgbClr val="FFD700"/>
          </a:solidFill>
          <a:ln>
            <a:noFill/>
          </a:ln>
          <a:effectLst/>
        </c:spPr>
      </c:pivotFmt>
      <c:pivotFmt>
        <c:idx val="1265"/>
        <c:spPr>
          <a:solidFill>
            <a:srgbClr val="FFD700"/>
          </a:solidFill>
          <a:ln>
            <a:noFill/>
          </a:ln>
          <a:effectLst/>
        </c:spPr>
      </c:pivotFmt>
      <c:pivotFmt>
        <c:idx val="1266"/>
        <c:spPr>
          <a:solidFill>
            <a:srgbClr val="FFD700"/>
          </a:solidFill>
          <a:ln>
            <a:noFill/>
          </a:ln>
          <a:effectLst/>
        </c:spPr>
      </c:pivotFmt>
      <c:pivotFmt>
        <c:idx val="1267"/>
        <c:spPr>
          <a:solidFill>
            <a:srgbClr val="FFD700"/>
          </a:solidFill>
          <a:ln>
            <a:noFill/>
          </a:ln>
          <a:effectLst/>
        </c:spPr>
      </c:pivotFmt>
      <c:pivotFmt>
        <c:idx val="1268"/>
        <c:spPr>
          <a:solidFill>
            <a:srgbClr val="FFD700"/>
          </a:solidFill>
          <a:ln>
            <a:noFill/>
          </a:ln>
          <a:effectLst/>
        </c:spPr>
      </c:pivotFmt>
      <c:pivotFmt>
        <c:idx val="1269"/>
        <c:spPr>
          <a:solidFill>
            <a:srgbClr val="FFD700"/>
          </a:solidFill>
          <a:ln>
            <a:noFill/>
          </a:ln>
          <a:effectLst/>
        </c:spPr>
      </c:pivotFmt>
      <c:pivotFmt>
        <c:idx val="1270"/>
        <c:spPr>
          <a:solidFill>
            <a:srgbClr val="FFD700"/>
          </a:solidFill>
          <a:ln>
            <a:noFill/>
          </a:ln>
          <a:effectLst/>
        </c:spPr>
      </c:pivotFmt>
      <c:pivotFmt>
        <c:idx val="1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2"/>
        <c:spPr>
          <a:solidFill>
            <a:srgbClr val="00B050"/>
          </a:solidFill>
          <a:ln>
            <a:noFill/>
          </a:ln>
          <a:effectLst/>
        </c:spPr>
      </c:pivotFmt>
      <c:pivotFmt>
        <c:idx val="1273"/>
        <c:spPr>
          <a:solidFill>
            <a:srgbClr val="00B050"/>
          </a:solidFill>
          <a:ln>
            <a:noFill/>
          </a:ln>
          <a:effectLst/>
        </c:spPr>
      </c:pivotFmt>
      <c:pivotFmt>
        <c:idx val="1274"/>
        <c:spPr>
          <a:solidFill>
            <a:srgbClr val="00B050"/>
          </a:solidFill>
          <a:ln>
            <a:noFill/>
          </a:ln>
          <a:effectLst/>
        </c:spPr>
      </c:pivotFmt>
      <c:pivotFmt>
        <c:idx val="1275"/>
        <c:spPr>
          <a:solidFill>
            <a:srgbClr val="00B050"/>
          </a:solidFill>
          <a:ln>
            <a:noFill/>
          </a:ln>
          <a:effectLst/>
        </c:spPr>
      </c:pivotFmt>
      <c:pivotFmt>
        <c:idx val="1276"/>
        <c:spPr>
          <a:solidFill>
            <a:srgbClr val="00B050"/>
          </a:solidFill>
          <a:ln>
            <a:noFill/>
          </a:ln>
          <a:effectLst/>
        </c:spPr>
      </c:pivotFmt>
      <c:pivotFmt>
        <c:idx val="1277"/>
        <c:spPr>
          <a:solidFill>
            <a:srgbClr val="00B050"/>
          </a:solidFill>
          <a:ln>
            <a:noFill/>
          </a:ln>
          <a:effectLst/>
        </c:spPr>
      </c:pivotFmt>
      <c:pivotFmt>
        <c:idx val="1278"/>
        <c:spPr>
          <a:solidFill>
            <a:srgbClr val="00B050"/>
          </a:solidFill>
          <a:ln>
            <a:noFill/>
          </a:ln>
          <a:effectLst/>
        </c:spPr>
      </c:pivotFmt>
      <c:pivotFmt>
        <c:idx val="1279"/>
        <c:spPr>
          <a:solidFill>
            <a:srgbClr val="FFD700"/>
          </a:solidFill>
          <a:ln>
            <a:noFill/>
          </a:ln>
          <a:effectLst/>
        </c:spPr>
      </c:pivotFmt>
      <c:pivotFmt>
        <c:idx val="1280"/>
        <c:spPr>
          <a:solidFill>
            <a:srgbClr val="FFD700"/>
          </a:solidFill>
          <a:ln>
            <a:noFill/>
          </a:ln>
          <a:effectLst/>
        </c:spPr>
      </c:pivotFmt>
      <c:pivotFmt>
        <c:idx val="1281"/>
        <c:spPr>
          <a:solidFill>
            <a:srgbClr val="FFD700"/>
          </a:solidFill>
          <a:ln>
            <a:noFill/>
          </a:ln>
          <a:effectLst/>
        </c:spPr>
      </c:pivotFmt>
      <c:pivotFmt>
        <c:idx val="1282"/>
        <c:spPr>
          <a:solidFill>
            <a:srgbClr val="FFD700"/>
          </a:solidFill>
          <a:ln>
            <a:noFill/>
          </a:ln>
          <a:effectLst/>
        </c:spPr>
      </c:pivotFmt>
      <c:pivotFmt>
        <c:idx val="1283"/>
        <c:spPr>
          <a:solidFill>
            <a:srgbClr val="FFD700"/>
          </a:solidFill>
          <a:ln>
            <a:noFill/>
          </a:ln>
          <a:effectLst/>
        </c:spPr>
      </c:pivotFmt>
      <c:pivotFmt>
        <c:idx val="1284"/>
        <c:spPr>
          <a:solidFill>
            <a:srgbClr val="FFD700"/>
          </a:solidFill>
          <a:ln>
            <a:noFill/>
          </a:ln>
          <a:effectLst/>
        </c:spPr>
      </c:pivotFmt>
      <c:pivotFmt>
        <c:idx val="1285"/>
        <c:spPr>
          <a:solidFill>
            <a:srgbClr val="FFD700"/>
          </a:solidFill>
          <a:ln>
            <a:noFill/>
          </a:ln>
          <a:effectLst/>
        </c:spPr>
      </c:pivotFmt>
      <c:pivotFmt>
        <c:idx val="1286"/>
        <c:spPr>
          <a:solidFill>
            <a:srgbClr val="FFD700"/>
          </a:solidFill>
          <a:ln>
            <a:noFill/>
          </a:ln>
          <a:effectLst/>
        </c:spPr>
      </c:pivotFmt>
      <c:pivotFmt>
        <c:idx val="1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8"/>
        <c:spPr>
          <a:solidFill>
            <a:srgbClr val="00B050"/>
          </a:solidFill>
          <a:ln>
            <a:noFill/>
          </a:ln>
          <a:effectLst/>
        </c:spPr>
      </c:pivotFmt>
      <c:pivotFmt>
        <c:idx val="1289"/>
        <c:spPr>
          <a:solidFill>
            <a:srgbClr val="00B050"/>
          </a:solidFill>
          <a:ln>
            <a:noFill/>
          </a:ln>
          <a:effectLst/>
        </c:spPr>
      </c:pivotFmt>
      <c:pivotFmt>
        <c:idx val="1290"/>
        <c:spPr>
          <a:solidFill>
            <a:srgbClr val="00B050"/>
          </a:solidFill>
          <a:ln>
            <a:noFill/>
          </a:ln>
          <a:effectLst/>
        </c:spPr>
      </c:pivotFmt>
      <c:pivotFmt>
        <c:idx val="1291"/>
        <c:spPr>
          <a:solidFill>
            <a:srgbClr val="00B050"/>
          </a:solidFill>
          <a:ln>
            <a:noFill/>
          </a:ln>
          <a:effectLst/>
        </c:spPr>
      </c:pivotFmt>
      <c:pivotFmt>
        <c:idx val="1292"/>
        <c:spPr>
          <a:solidFill>
            <a:srgbClr val="00B050"/>
          </a:solidFill>
          <a:ln>
            <a:noFill/>
          </a:ln>
          <a:effectLst/>
        </c:spPr>
      </c:pivotFmt>
      <c:pivotFmt>
        <c:idx val="1293"/>
        <c:spPr>
          <a:solidFill>
            <a:srgbClr val="00B050"/>
          </a:solidFill>
          <a:ln>
            <a:noFill/>
          </a:ln>
          <a:effectLst/>
        </c:spPr>
      </c:pivotFmt>
      <c:pivotFmt>
        <c:idx val="1294"/>
        <c:spPr>
          <a:solidFill>
            <a:srgbClr val="00B050"/>
          </a:solidFill>
          <a:ln>
            <a:noFill/>
          </a:ln>
          <a:effectLst/>
        </c:spPr>
      </c:pivotFmt>
      <c:pivotFmt>
        <c:idx val="1295"/>
        <c:spPr>
          <a:solidFill>
            <a:srgbClr val="FFD700"/>
          </a:solidFill>
          <a:ln>
            <a:noFill/>
          </a:ln>
          <a:effectLst/>
        </c:spPr>
      </c:pivotFmt>
      <c:pivotFmt>
        <c:idx val="1296"/>
        <c:spPr>
          <a:solidFill>
            <a:srgbClr val="FFD700"/>
          </a:solidFill>
          <a:ln>
            <a:noFill/>
          </a:ln>
          <a:effectLst/>
        </c:spPr>
      </c:pivotFmt>
      <c:pivotFmt>
        <c:idx val="1297"/>
        <c:spPr>
          <a:solidFill>
            <a:srgbClr val="FFD700"/>
          </a:solidFill>
          <a:ln>
            <a:noFill/>
          </a:ln>
          <a:effectLst/>
        </c:spPr>
      </c:pivotFmt>
      <c:pivotFmt>
        <c:idx val="1298"/>
        <c:spPr>
          <a:solidFill>
            <a:srgbClr val="FFD700"/>
          </a:solidFill>
          <a:ln>
            <a:noFill/>
          </a:ln>
          <a:effectLst/>
        </c:spPr>
      </c:pivotFmt>
      <c:pivotFmt>
        <c:idx val="1299"/>
        <c:spPr>
          <a:solidFill>
            <a:srgbClr val="FFD700"/>
          </a:solidFill>
          <a:ln>
            <a:noFill/>
          </a:ln>
          <a:effectLst/>
        </c:spPr>
      </c:pivotFmt>
      <c:pivotFmt>
        <c:idx val="1300"/>
        <c:spPr>
          <a:solidFill>
            <a:srgbClr val="FFD700"/>
          </a:solidFill>
          <a:ln>
            <a:noFill/>
          </a:ln>
          <a:effectLst/>
        </c:spPr>
      </c:pivotFmt>
      <c:pivotFmt>
        <c:idx val="1301"/>
        <c:spPr>
          <a:solidFill>
            <a:srgbClr val="FFD700"/>
          </a:solidFill>
          <a:ln>
            <a:noFill/>
          </a:ln>
          <a:effectLst/>
        </c:spPr>
      </c:pivotFmt>
      <c:pivotFmt>
        <c:idx val="1302"/>
        <c:spPr>
          <a:solidFill>
            <a:srgbClr val="FFD700"/>
          </a:solidFill>
          <a:ln>
            <a:noFill/>
          </a:ln>
          <a:effectLst/>
        </c:spPr>
      </c:pivotFmt>
      <c:pivotFmt>
        <c:idx val="1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4"/>
        <c:spPr>
          <a:solidFill>
            <a:srgbClr val="00B050"/>
          </a:solidFill>
          <a:ln>
            <a:noFill/>
          </a:ln>
          <a:effectLst/>
        </c:spPr>
      </c:pivotFmt>
      <c:pivotFmt>
        <c:idx val="1305"/>
        <c:spPr>
          <a:solidFill>
            <a:srgbClr val="00B050"/>
          </a:solidFill>
          <a:ln>
            <a:noFill/>
          </a:ln>
          <a:effectLst/>
        </c:spPr>
      </c:pivotFmt>
      <c:pivotFmt>
        <c:idx val="1306"/>
        <c:spPr>
          <a:solidFill>
            <a:srgbClr val="00B050"/>
          </a:solidFill>
          <a:ln>
            <a:noFill/>
          </a:ln>
          <a:effectLst/>
        </c:spPr>
      </c:pivotFmt>
      <c:pivotFmt>
        <c:idx val="1307"/>
        <c:spPr>
          <a:solidFill>
            <a:srgbClr val="00B050"/>
          </a:solidFill>
          <a:ln>
            <a:noFill/>
          </a:ln>
          <a:effectLst/>
        </c:spPr>
      </c:pivotFmt>
      <c:pivotFmt>
        <c:idx val="1308"/>
        <c:spPr>
          <a:solidFill>
            <a:srgbClr val="00B050"/>
          </a:solidFill>
          <a:ln>
            <a:noFill/>
          </a:ln>
          <a:effectLst/>
        </c:spPr>
      </c:pivotFmt>
      <c:pivotFmt>
        <c:idx val="1309"/>
        <c:spPr>
          <a:solidFill>
            <a:srgbClr val="00B050"/>
          </a:solidFill>
          <a:ln>
            <a:noFill/>
          </a:ln>
          <a:effectLst/>
        </c:spPr>
      </c:pivotFmt>
      <c:pivotFmt>
        <c:idx val="1310"/>
        <c:spPr>
          <a:solidFill>
            <a:srgbClr val="00B050"/>
          </a:solidFill>
          <a:ln>
            <a:noFill/>
          </a:ln>
          <a:effectLst/>
        </c:spPr>
      </c:pivotFmt>
      <c:pivotFmt>
        <c:idx val="1311"/>
        <c:spPr>
          <a:solidFill>
            <a:srgbClr val="FFD700"/>
          </a:solidFill>
          <a:ln>
            <a:noFill/>
          </a:ln>
          <a:effectLst/>
        </c:spPr>
      </c:pivotFmt>
      <c:pivotFmt>
        <c:idx val="1312"/>
        <c:spPr>
          <a:solidFill>
            <a:srgbClr val="FFD700"/>
          </a:solidFill>
          <a:ln>
            <a:noFill/>
          </a:ln>
          <a:effectLst/>
        </c:spPr>
      </c:pivotFmt>
      <c:pivotFmt>
        <c:idx val="1313"/>
        <c:spPr>
          <a:solidFill>
            <a:srgbClr val="FFD700"/>
          </a:solidFill>
          <a:ln>
            <a:noFill/>
          </a:ln>
          <a:effectLst/>
        </c:spPr>
      </c:pivotFmt>
      <c:pivotFmt>
        <c:idx val="1314"/>
        <c:spPr>
          <a:solidFill>
            <a:srgbClr val="FFD700"/>
          </a:solidFill>
          <a:ln>
            <a:noFill/>
          </a:ln>
          <a:effectLst/>
        </c:spPr>
      </c:pivotFmt>
      <c:pivotFmt>
        <c:idx val="1315"/>
        <c:spPr>
          <a:solidFill>
            <a:srgbClr val="FFD700"/>
          </a:solidFill>
          <a:ln>
            <a:noFill/>
          </a:ln>
          <a:effectLst/>
        </c:spPr>
      </c:pivotFmt>
      <c:pivotFmt>
        <c:idx val="1316"/>
        <c:spPr>
          <a:solidFill>
            <a:srgbClr val="FFD700"/>
          </a:solidFill>
          <a:ln>
            <a:noFill/>
          </a:ln>
          <a:effectLst/>
        </c:spPr>
      </c:pivotFmt>
      <c:pivotFmt>
        <c:idx val="1317"/>
        <c:spPr>
          <a:solidFill>
            <a:srgbClr val="FFD700"/>
          </a:solidFill>
          <a:ln>
            <a:noFill/>
          </a:ln>
          <a:effectLst/>
        </c:spPr>
      </c:pivotFmt>
      <c:pivotFmt>
        <c:idx val="1318"/>
        <c:spPr>
          <a:solidFill>
            <a:srgbClr val="FFD700"/>
          </a:solidFill>
          <a:ln>
            <a:noFill/>
          </a:ln>
          <a:effectLst/>
        </c:spPr>
      </c:pivotFmt>
      <c:pivotFmt>
        <c:idx val="1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0"/>
        <c:spPr>
          <a:solidFill>
            <a:srgbClr val="00B050"/>
          </a:solidFill>
          <a:ln>
            <a:noFill/>
          </a:ln>
          <a:effectLst/>
        </c:spPr>
      </c:pivotFmt>
      <c:pivotFmt>
        <c:idx val="1321"/>
        <c:spPr>
          <a:solidFill>
            <a:srgbClr val="00B050"/>
          </a:solidFill>
          <a:ln>
            <a:noFill/>
          </a:ln>
          <a:effectLst/>
        </c:spPr>
      </c:pivotFmt>
      <c:pivotFmt>
        <c:idx val="1322"/>
        <c:spPr>
          <a:solidFill>
            <a:srgbClr val="00B050"/>
          </a:solidFill>
          <a:ln>
            <a:noFill/>
          </a:ln>
          <a:effectLst/>
        </c:spPr>
      </c:pivotFmt>
      <c:pivotFmt>
        <c:idx val="1323"/>
        <c:spPr>
          <a:solidFill>
            <a:srgbClr val="00B050"/>
          </a:solidFill>
          <a:ln>
            <a:noFill/>
          </a:ln>
          <a:effectLst/>
        </c:spPr>
      </c:pivotFmt>
      <c:pivotFmt>
        <c:idx val="1324"/>
        <c:spPr>
          <a:solidFill>
            <a:srgbClr val="00B050"/>
          </a:solidFill>
          <a:ln>
            <a:noFill/>
          </a:ln>
          <a:effectLst/>
        </c:spPr>
      </c:pivotFmt>
      <c:pivotFmt>
        <c:idx val="1325"/>
        <c:spPr>
          <a:solidFill>
            <a:srgbClr val="00B050"/>
          </a:solidFill>
          <a:ln>
            <a:noFill/>
          </a:ln>
          <a:effectLst/>
        </c:spPr>
      </c:pivotFmt>
      <c:pivotFmt>
        <c:idx val="1326"/>
        <c:spPr>
          <a:solidFill>
            <a:srgbClr val="00B050"/>
          </a:solidFill>
          <a:ln>
            <a:noFill/>
          </a:ln>
          <a:effectLst/>
        </c:spPr>
      </c:pivotFmt>
      <c:pivotFmt>
        <c:idx val="1327"/>
        <c:spPr>
          <a:solidFill>
            <a:srgbClr val="FFD700"/>
          </a:solidFill>
          <a:ln>
            <a:noFill/>
          </a:ln>
          <a:effectLst/>
        </c:spPr>
      </c:pivotFmt>
      <c:pivotFmt>
        <c:idx val="1328"/>
        <c:spPr>
          <a:solidFill>
            <a:srgbClr val="FFD700"/>
          </a:solidFill>
          <a:ln>
            <a:noFill/>
          </a:ln>
          <a:effectLst/>
        </c:spPr>
      </c:pivotFmt>
      <c:pivotFmt>
        <c:idx val="1329"/>
        <c:spPr>
          <a:solidFill>
            <a:srgbClr val="FFD700"/>
          </a:solidFill>
          <a:ln>
            <a:noFill/>
          </a:ln>
          <a:effectLst/>
        </c:spPr>
      </c:pivotFmt>
      <c:pivotFmt>
        <c:idx val="1330"/>
        <c:spPr>
          <a:solidFill>
            <a:srgbClr val="FFD700"/>
          </a:solidFill>
          <a:ln>
            <a:noFill/>
          </a:ln>
          <a:effectLst/>
        </c:spPr>
      </c:pivotFmt>
      <c:pivotFmt>
        <c:idx val="1331"/>
        <c:spPr>
          <a:solidFill>
            <a:srgbClr val="FFD700"/>
          </a:solidFill>
          <a:ln>
            <a:noFill/>
          </a:ln>
          <a:effectLst/>
        </c:spPr>
      </c:pivotFmt>
      <c:pivotFmt>
        <c:idx val="1332"/>
        <c:spPr>
          <a:solidFill>
            <a:srgbClr val="FFD700"/>
          </a:solidFill>
          <a:ln>
            <a:noFill/>
          </a:ln>
          <a:effectLst/>
        </c:spPr>
      </c:pivotFmt>
      <c:pivotFmt>
        <c:idx val="1333"/>
        <c:spPr>
          <a:solidFill>
            <a:srgbClr val="FFD700"/>
          </a:solidFill>
          <a:ln>
            <a:noFill/>
          </a:ln>
          <a:effectLst/>
        </c:spPr>
      </c:pivotFmt>
      <c:pivotFmt>
        <c:idx val="1334"/>
        <c:spPr>
          <a:solidFill>
            <a:srgbClr val="FFD700"/>
          </a:solidFill>
          <a:ln>
            <a:noFill/>
          </a:ln>
          <a:effectLst/>
        </c:spPr>
      </c:pivotFmt>
      <c:pivotFmt>
        <c:idx val="1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6"/>
        <c:spPr>
          <a:solidFill>
            <a:srgbClr val="00B050"/>
          </a:solidFill>
          <a:ln>
            <a:noFill/>
          </a:ln>
          <a:effectLst/>
        </c:spPr>
      </c:pivotFmt>
      <c:pivotFmt>
        <c:idx val="1337"/>
        <c:spPr>
          <a:solidFill>
            <a:srgbClr val="00B050"/>
          </a:solidFill>
          <a:ln>
            <a:noFill/>
          </a:ln>
          <a:effectLst/>
        </c:spPr>
      </c:pivotFmt>
      <c:pivotFmt>
        <c:idx val="1338"/>
        <c:spPr>
          <a:solidFill>
            <a:srgbClr val="00B050"/>
          </a:solidFill>
          <a:ln>
            <a:noFill/>
          </a:ln>
          <a:effectLst/>
        </c:spPr>
      </c:pivotFmt>
      <c:pivotFmt>
        <c:idx val="1339"/>
        <c:spPr>
          <a:solidFill>
            <a:srgbClr val="00B050"/>
          </a:solidFill>
          <a:ln>
            <a:noFill/>
          </a:ln>
          <a:effectLst/>
        </c:spPr>
      </c:pivotFmt>
      <c:pivotFmt>
        <c:idx val="1340"/>
        <c:spPr>
          <a:solidFill>
            <a:srgbClr val="00B050"/>
          </a:solidFill>
          <a:ln>
            <a:noFill/>
          </a:ln>
          <a:effectLst/>
        </c:spPr>
      </c:pivotFmt>
      <c:pivotFmt>
        <c:idx val="1341"/>
        <c:spPr>
          <a:solidFill>
            <a:srgbClr val="00B050"/>
          </a:solidFill>
          <a:ln>
            <a:noFill/>
          </a:ln>
          <a:effectLst/>
        </c:spPr>
      </c:pivotFmt>
      <c:pivotFmt>
        <c:idx val="1342"/>
        <c:spPr>
          <a:solidFill>
            <a:srgbClr val="00B050"/>
          </a:solidFill>
          <a:ln>
            <a:noFill/>
          </a:ln>
          <a:effectLst/>
        </c:spPr>
      </c:pivotFmt>
      <c:pivotFmt>
        <c:idx val="1343"/>
        <c:spPr>
          <a:solidFill>
            <a:srgbClr val="FFD700"/>
          </a:solidFill>
          <a:ln>
            <a:noFill/>
          </a:ln>
          <a:effectLst/>
        </c:spPr>
      </c:pivotFmt>
      <c:pivotFmt>
        <c:idx val="1344"/>
        <c:spPr>
          <a:solidFill>
            <a:srgbClr val="FFD700"/>
          </a:solidFill>
          <a:ln>
            <a:noFill/>
          </a:ln>
          <a:effectLst/>
        </c:spPr>
      </c:pivotFmt>
      <c:pivotFmt>
        <c:idx val="1345"/>
        <c:spPr>
          <a:solidFill>
            <a:srgbClr val="FFD700"/>
          </a:solidFill>
          <a:ln>
            <a:noFill/>
          </a:ln>
          <a:effectLst/>
        </c:spPr>
      </c:pivotFmt>
      <c:pivotFmt>
        <c:idx val="1346"/>
        <c:spPr>
          <a:solidFill>
            <a:srgbClr val="FFD700"/>
          </a:solidFill>
          <a:ln>
            <a:noFill/>
          </a:ln>
          <a:effectLst/>
        </c:spPr>
      </c:pivotFmt>
      <c:pivotFmt>
        <c:idx val="1347"/>
        <c:spPr>
          <a:solidFill>
            <a:srgbClr val="FFD700"/>
          </a:solidFill>
          <a:ln>
            <a:noFill/>
          </a:ln>
          <a:effectLst/>
        </c:spPr>
      </c:pivotFmt>
      <c:pivotFmt>
        <c:idx val="1348"/>
        <c:spPr>
          <a:solidFill>
            <a:srgbClr val="FFD700"/>
          </a:solidFill>
          <a:ln>
            <a:noFill/>
          </a:ln>
          <a:effectLst/>
        </c:spPr>
      </c:pivotFmt>
      <c:pivotFmt>
        <c:idx val="1349"/>
        <c:spPr>
          <a:solidFill>
            <a:srgbClr val="FFD700"/>
          </a:solidFill>
          <a:ln>
            <a:noFill/>
          </a:ln>
          <a:effectLst/>
        </c:spPr>
      </c:pivotFmt>
      <c:pivotFmt>
        <c:idx val="1350"/>
        <c:spPr>
          <a:solidFill>
            <a:srgbClr val="FFD700"/>
          </a:solidFill>
          <a:ln>
            <a:noFill/>
          </a:ln>
          <a:effectLst/>
        </c:spPr>
      </c:pivotFmt>
      <c:pivotFmt>
        <c:idx val="1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2"/>
        <c:spPr>
          <a:solidFill>
            <a:srgbClr val="00B050"/>
          </a:solidFill>
          <a:ln>
            <a:noFill/>
          </a:ln>
          <a:effectLst/>
        </c:spPr>
      </c:pivotFmt>
      <c:pivotFmt>
        <c:idx val="1353"/>
        <c:spPr>
          <a:solidFill>
            <a:srgbClr val="00B050"/>
          </a:solidFill>
          <a:ln>
            <a:noFill/>
          </a:ln>
          <a:effectLst/>
        </c:spPr>
      </c:pivotFmt>
      <c:pivotFmt>
        <c:idx val="1354"/>
        <c:spPr>
          <a:solidFill>
            <a:srgbClr val="00B050"/>
          </a:solidFill>
          <a:ln>
            <a:noFill/>
          </a:ln>
          <a:effectLst/>
        </c:spPr>
      </c:pivotFmt>
      <c:pivotFmt>
        <c:idx val="1355"/>
        <c:spPr>
          <a:solidFill>
            <a:srgbClr val="00B050"/>
          </a:solidFill>
          <a:ln>
            <a:noFill/>
          </a:ln>
          <a:effectLst/>
        </c:spPr>
      </c:pivotFmt>
      <c:pivotFmt>
        <c:idx val="1356"/>
        <c:spPr>
          <a:solidFill>
            <a:srgbClr val="00B050"/>
          </a:solidFill>
          <a:ln>
            <a:noFill/>
          </a:ln>
          <a:effectLst/>
        </c:spPr>
      </c:pivotFmt>
      <c:pivotFmt>
        <c:idx val="1357"/>
        <c:spPr>
          <a:solidFill>
            <a:srgbClr val="00B050"/>
          </a:solidFill>
          <a:ln>
            <a:noFill/>
          </a:ln>
          <a:effectLst/>
        </c:spPr>
      </c:pivotFmt>
      <c:pivotFmt>
        <c:idx val="1358"/>
        <c:spPr>
          <a:solidFill>
            <a:srgbClr val="00B050"/>
          </a:solidFill>
          <a:ln>
            <a:noFill/>
          </a:ln>
          <a:effectLst/>
        </c:spPr>
      </c:pivotFmt>
      <c:pivotFmt>
        <c:idx val="1359"/>
        <c:spPr>
          <a:solidFill>
            <a:srgbClr val="FFD700"/>
          </a:solidFill>
          <a:ln>
            <a:noFill/>
          </a:ln>
          <a:effectLst/>
        </c:spPr>
      </c:pivotFmt>
      <c:pivotFmt>
        <c:idx val="1360"/>
        <c:spPr>
          <a:solidFill>
            <a:srgbClr val="FFD700"/>
          </a:solidFill>
          <a:ln>
            <a:noFill/>
          </a:ln>
          <a:effectLst/>
        </c:spPr>
      </c:pivotFmt>
      <c:pivotFmt>
        <c:idx val="1361"/>
        <c:spPr>
          <a:solidFill>
            <a:srgbClr val="FFD700"/>
          </a:solidFill>
          <a:ln>
            <a:noFill/>
          </a:ln>
          <a:effectLst/>
        </c:spPr>
      </c:pivotFmt>
      <c:pivotFmt>
        <c:idx val="1362"/>
        <c:spPr>
          <a:solidFill>
            <a:srgbClr val="FFD700"/>
          </a:solidFill>
          <a:ln>
            <a:noFill/>
          </a:ln>
          <a:effectLst/>
        </c:spPr>
      </c:pivotFmt>
      <c:pivotFmt>
        <c:idx val="1363"/>
        <c:spPr>
          <a:solidFill>
            <a:srgbClr val="FFD700"/>
          </a:solidFill>
          <a:ln>
            <a:noFill/>
          </a:ln>
          <a:effectLst/>
        </c:spPr>
      </c:pivotFmt>
      <c:pivotFmt>
        <c:idx val="1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5"/>
        <c:spPr>
          <a:solidFill>
            <a:srgbClr val="00B050"/>
          </a:solidFill>
          <a:ln>
            <a:noFill/>
          </a:ln>
          <a:effectLst/>
        </c:spPr>
      </c:pivotFmt>
      <c:pivotFmt>
        <c:idx val="1366"/>
        <c:spPr>
          <a:solidFill>
            <a:srgbClr val="00B050"/>
          </a:solidFill>
          <a:ln>
            <a:noFill/>
          </a:ln>
          <a:effectLst/>
        </c:spPr>
      </c:pivotFmt>
      <c:pivotFmt>
        <c:idx val="1367"/>
        <c:spPr>
          <a:solidFill>
            <a:srgbClr val="00B050"/>
          </a:solidFill>
          <a:ln>
            <a:noFill/>
          </a:ln>
          <a:effectLst/>
        </c:spPr>
      </c:pivotFmt>
      <c:pivotFmt>
        <c:idx val="1368"/>
        <c:spPr>
          <a:solidFill>
            <a:srgbClr val="00B050"/>
          </a:solidFill>
          <a:ln>
            <a:noFill/>
          </a:ln>
          <a:effectLst/>
        </c:spPr>
      </c:pivotFmt>
      <c:pivotFmt>
        <c:idx val="1369"/>
        <c:spPr>
          <a:solidFill>
            <a:srgbClr val="00B050"/>
          </a:solidFill>
          <a:ln>
            <a:noFill/>
          </a:ln>
          <a:effectLst/>
        </c:spPr>
      </c:pivotFmt>
      <c:pivotFmt>
        <c:idx val="1370"/>
        <c:spPr>
          <a:solidFill>
            <a:srgbClr val="00B050"/>
          </a:solidFill>
          <a:ln>
            <a:noFill/>
          </a:ln>
          <a:effectLst/>
        </c:spPr>
      </c:pivotFmt>
      <c:pivotFmt>
        <c:idx val="1371"/>
        <c:spPr>
          <a:solidFill>
            <a:srgbClr val="00B050"/>
          </a:solidFill>
          <a:ln>
            <a:noFill/>
          </a:ln>
          <a:effectLst/>
        </c:spPr>
      </c:pivotFmt>
      <c:pivotFmt>
        <c:idx val="1372"/>
        <c:spPr>
          <a:solidFill>
            <a:srgbClr val="FFD700"/>
          </a:solidFill>
          <a:ln>
            <a:noFill/>
          </a:ln>
          <a:effectLst/>
        </c:spPr>
      </c:pivotFmt>
      <c:pivotFmt>
        <c:idx val="1373"/>
        <c:spPr>
          <a:solidFill>
            <a:srgbClr val="FFD700"/>
          </a:solidFill>
          <a:ln>
            <a:noFill/>
          </a:ln>
          <a:effectLst/>
        </c:spPr>
      </c:pivotFmt>
      <c:pivotFmt>
        <c:idx val="1374"/>
        <c:spPr>
          <a:solidFill>
            <a:srgbClr val="FFD700"/>
          </a:solidFill>
          <a:ln>
            <a:noFill/>
          </a:ln>
          <a:effectLst/>
        </c:spPr>
      </c:pivotFmt>
      <c:pivotFmt>
        <c:idx val="1375"/>
        <c:spPr>
          <a:solidFill>
            <a:srgbClr val="FFD700"/>
          </a:solidFill>
          <a:ln>
            <a:noFill/>
          </a:ln>
          <a:effectLst/>
        </c:spPr>
      </c:pivotFmt>
      <c:pivotFmt>
        <c:idx val="1376"/>
        <c:spPr>
          <a:solidFill>
            <a:srgbClr val="FFD700"/>
          </a:solidFill>
          <a:ln>
            <a:noFill/>
          </a:ln>
          <a:effectLst/>
        </c:spPr>
      </c:pivotFmt>
      <c:pivotFmt>
        <c:idx val="1377"/>
        <c:spPr>
          <a:solidFill>
            <a:srgbClr val="FFD700"/>
          </a:solidFill>
          <a:ln>
            <a:noFill/>
          </a:ln>
          <a:effectLst/>
        </c:spPr>
      </c:pivotFmt>
      <c:pivotFmt>
        <c:idx val="1378"/>
        <c:spPr>
          <a:solidFill>
            <a:srgbClr val="FFD700"/>
          </a:solidFill>
          <a:ln>
            <a:noFill/>
          </a:ln>
          <a:effectLst/>
        </c:spPr>
      </c:pivotFmt>
      <c:pivotFmt>
        <c:idx val="1379"/>
        <c:spPr>
          <a:solidFill>
            <a:srgbClr val="FFD700"/>
          </a:solidFill>
          <a:ln>
            <a:noFill/>
          </a:ln>
          <a:effectLst/>
        </c:spPr>
      </c:pivotFmt>
      <c:pivotFmt>
        <c:idx val="1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1"/>
        <c:spPr>
          <a:solidFill>
            <a:srgbClr val="00B050"/>
          </a:solidFill>
          <a:ln>
            <a:noFill/>
          </a:ln>
          <a:effectLst/>
        </c:spPr>
      </c:pivotFmt>
      <c:pivotFmt>
        <c:idx val="1382"/>
        <c:spPr>
          <a:solidFill>
            <a:srgbClr val="00B050"/>
          </a:solidFill>
          <a:ln>
            <a:noFill/>
          </a:ln>
          <a:effectLst/>
        </c:spPr>
      </c:pivotFmt>
      <c:pivotFmt>
        <c:idx val="1383"/>
        <c:spPr>
          <a:solidFill>
            <a:srgbClr val="00B050"/>
          </a:solidFill>
          <a:ln>
            <a:noFill/>
          </a:ln>
          <a:effectLst/>
        </c:spPr>
      </c:pivotFmt>
      <c:pivotFmt>
        <c:idx val="1384"/>
        <c:spPr>
          <a:solidFill>
            <a:srgbClr val="00B050"/>
          </a:solidFill>
          <a:ln>
            <a:noFill/>
          </a:ln>
          <a:effectLst/>
        </c:spPr>
      </c:pivotFmt>
      <c:pivotFmt>
        <c:idx val="1385"/>
        <c:spPr>
          <a:solidFill>
            <a:srgbClr val="00B050"/>
          </a:solidFill>
          <a:ln>
            <a:noFill/>
          </a:ln>
          <a:effectLst/>
        </c:spPr>
      </c:pivotFmt>
      <c:pivotFmt>
        <c:idx val="1386"/>
        <c:spPr>
          <a:solidFill>
            <a:srgbClr val="00B050"/>
          </a:solidFill>
          <a:ln>
            <a:noFill/>
          </a:ln>
          <a:effectLst/>
        </c:spPr>
      </c:pivotFmt>
      <c:pivotFmt>
        <c:idx val="1387"/>
        <c:spPr>
          <a:solidFill>
            <a:srgbClr val="00B050"/>
          </a:solidFill>
          <a:ln>
            <a:noFill/>
          </a:ln>
          <a:effectLst/>
        </c:spPr>
      </c:pivotFmt>
      <c:pivotFmt>
        <c:idx val="1388"/>
        <c:spPr>
          <a:solidFill>
            <a:srgbClr val="FFD700"/>
          </a:solidFill>
          <a:ln>
            <a:noFill/>
          </a:ln>
          <a:effectLst/>
        </c:spPr>
      </c:pivotFmt>
      <c:pivotFmt>
        <c:idx val="1389"/>
        <c:spPr>
          <a:solidFill>
            <a:srgbClr val="FFD700"/>
          </a:solidFill>
          <a:ln>
            <a:noFill/>
          </a:ln>
          <a:effectLst/>
        </c:spPr>
      </c:pivotFmt>
      <c:pivotFmt>
        <c:idx val="1390"/>
        <c:spPr>
          <a:solidFill>
            <a:srgbClr val="FFD700"/>
          </a:solidFill>
          <a:ln>
            <a:noFill/>
          </a:ln>
          <a:effectLst/>
        </c:spPr>
      </c:pivotFmt>
      <c:pivotFmt>
        <c:idx val="1391"/>
        <c:spPr>
          <a:solidFill>
            <a:srgbClr val="FFD700"/>
          </a:solidFill>
          <a:ln>
            <a:noFill/>
          </a:ln>
          <a:effectLst/>
        </c:spPr>
      </c:pivotFmt>
      <c:pivotFmt>
        <c:idx val="1392"/>
        <c:spPr>
          <a:solidFill>
            <a:srgbClr val="FFD700"/>
          </a:solidFill>
          <a:ln>
            <a:noFill/>
          </a:ln>
          <a:effectLst/>
        </c:spPr>
      </c:pivotFmt>
      <c:pivotFmt>
        <c:idx val="1393"/>
        <c:spPr>
          <a:solidFill>
            <a:srgbClr val="FFD700"/>
          </a:solidFill>
          <a:ln>
            <a:noFill/>
          </a:ln>
          <a:effectLst/>
        </c:spPr>
      </c:pivotFmt>
      <c:pivotFmt>
        <c:idx val="1394"/>
        <c:spPr>
          <a:solidFill>
            <a:srgbClr val="FFD700"/>
          </a:solidFill>
          <a:ln>
            <a:noFill/>
          </a:ln>
          <a:effectLst/>
        </c:spPr>
      </c:pivotFmt>
      <c:pivotFmt>
        <c:idx val="1395"/>
        <c:spPr>
          <a:solidFill>
            <a:srgbClr val="FFD7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쿼리_피벗!$F$6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B5E5-42B1-A1B0-3747EEC93603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B5E5-42B1-A1B0-3747EEC93603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B5E5-42B1-A1B0-3747EEC93603}"/>
              </c:ext>
            </c:extLst>
          </c:dPt>
          <c:dPt>
            <c:idx val="1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B5E5-42B1-A1B0-3747EEC93603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B5E5-42B1-A1B0-3747EEC93603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B5E5-42B1-A1B0-3747EEC93603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B5E5-42B1-A1B0-3747EEC93603}"/>
              </c:ext>
            </c:extLst>
          </c:dPt>
          <c:dPt>
            <c:idx val="17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B5E5-42B1-A1B0-3747EEC93603}"/>
              </c:ext>
            </c:extLst>
          </c:dPt>
          <c:dPt>
            <c:idx val="18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B5E5-42B1-A1B0-3747EEC93603}"/>
              </c:ext>
            </c:extLst>
          </c:dPt>
          <c:dPt>
            <c:idx val="19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B5E5-42B1-A1B0-3747EEC93603}"/>
              </c:ext>
            </c:extLst>
          </c:dPt>
          <c:dPt>
            <c:idx val="20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B5E5-42B1-A1B0-3747EEC93603}"/>
              </c:ext>
            </c:extLst>
          </c:dPt>
          <c:dPt>
            <c:idx val="21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B5E5-42B1-A1B0-3747EEC93603}"/>
              </c:ext>
            </c:extLst>
          </c:dPt>
          <c:dPt>
            <c:idx val="22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B5E5-42B1-A1B0-3747EEC93603}"/>
              </c:ext>
            </c:extLst>
          </c:dPt>
          <c:dPt>
            <c:idx val="23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B5E5-42B1-A1B0-3747EEC93603}"/>
              </c:ext>
            </c:extLst>
          </c:dPt>
          <c:dPt>
            <c:idx val="24"/>
            <c:invertIfNegative val="0"/>
            <c:bubble3D val="0"/>
            <c:spPr>
              <a:solidFill>
                <a:srgbClr val="FFD7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B5E5-42B1-A1B0-3747EEC936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쿼리_피벗!$E$7:$E$35</c:f>
              <c:multiLvlStrCache>
                <c:ptCount val="25"/>
                <c:lvl>
                  <c:pt idx="0">
                    <c:v>삼방스탠드-지퍼</c:v>
                  </c:pt>
                  <c:pt idx="1">
                    <c:v>삼방-지퍼</c:v>
                  </c:pt>
                  <c:pt idx="2">
                    <c:v>삼방-HD씨링</c:v>
                  </c:pt>
                  <c:pt idx="3">
                    <c:v>삼방</c:v>
                  </c:pt>
                  <c:pt idx="4">
                    <c:v>삼방스탠드</c:v>
                  </c:pt>
                  <c:pt idx="5">
                    <c:v>2단삼방-지퍼</c:v>
                  </c:pt>
                  <c:pt idx="6">
                    <c:v>삼방꼬리</c:v>
                  </c:pt>
                  <c:pt idx="7">
                    <c:v>삼방-2폭-HD씨링</c:v>
                  </c:pt>
                  <c:pt idx="8">
                    <c:v>2단삼방스탠드-지퍼</c:v>
                  </c:pt>
                  <c:pt idx="9">
                    <c:v>삼방-2폭</c:v>
                  </c:pt>
                  <c:pt idx="10">
                    <c:v>삼방-HD씨링</c:v>
                  </c:pt>
                  <c:pt idx="11">
                    <c:v>삼방스탠드-지퍼</c:v>
                  </c:pt>
                  <c:pt idx="12">
                    <c:v>삼방</c:v>
                  </c:pt>
                  <c:pt idx="13">
                    <c:v>삼방-지퍼</c:v>
                  </c:pt>
                  <c:pt idx="14">
                    <c:v>삼방스탠드</c:v>
                  </c:pt>
                  <c:pt idx="15">
                    <c:v>삼방꼬리</c:v>
                  </c:pt>
                  <c:pt idx="16">
                    <c:v>삼방꼬리-HD씨링</c:v>
                  </c:pt>
                  <c:pt idx="17">
                    <c:v>삼방-지퍼</c:v>
                  </c:pt>
                  <c:pt idx="18">
                    <c:v>삼방-HD씨링</c:v>
                  </c:pt>
                  <c:pt idx="19">
                    <c:v>삼방</c:v>
                  </c:pt>
                  <c:pt idx="20">
                    <c:v>삼방-2폭-HD씨링</c:v>
                  </c:pt>
                  <c:pt idx="21">
                    <c:v>삼방-2폭</c:v>
                  </c:pt>
                  <c:pt idx="22">
                    <c:v>삼방꼬리-HD씨링</c:v>
                  </c:pt>
                  <c:pt idx="23">
                    <c:v>삼방꼬리</c:v>
                  </c:pt>
                  <c:pt idx="24">
                    <c:v>간지</c:v>
                  </c:pt>
                </c:lvl>
                <c:lvl>
                  <c:pt idx="0">
                    <c:v>진포장</c:v>
                  </c:pt>
                  <c:pt idx="10">
                    <c:v>엠에스팩</c:v>
                  </c:pt>
                  <c:pt idx="17">
                    <c:v>모든팩</c:v>
                  </c:pt>
                </c:lvl>
              </c:multiLvlStrCache>
            </c:multiLvlStrRef>
          </c:cat>
          <c:val>
            <c:numRef>
              <c:f>쿼리_피벗!$F$7:$F$35</c:f>
              <c:numCache>
                <c:formatCode>#,##0</c:formatCode>
                <c:ptCount val="25"/>
                <c:pt idx="0">
                  <c:v>41372051</c:v>
                </c:pt>
                <c:pt idx="1">
                  <c:v>25430123</c:v>
                </c:pt>
                <c:pt idx="2">
                  <c:v>17874918.5</c:v>
                </c:pt>
                <c:pt idx="3">
                  <c:v>13900586</c:v>
                </c:pt>
                <c:pt idx="4">
                  <c:v>5682817</c:v>
                </c:pt>
                <c:pt idx="5">
                  <c:v>3168000</c:v>
                </c:pt>
                <c:pt idx="6">
                  <c:v>1725738</c:v>
                </c:pt>
                <c:pt idx="7">
                  <c:v>1440000</c:v>
                </c:pt>
                <c:pt idx="8">
                  <c:v>839991.6</c:v>
                </c:pt>
                <c:pt idx="9">
                  <c:v>417388</c:v>
                </c:pt>
                <c:pt idx="10">
                  <c:v>15204631.5</c:v>
                </c:pt>
                <c:pt idx="11">
                  <c:v>10079993</c:v>
                </c:pt>
                <c:pt idx="12">
                  <c:v>4860654</c:v>
                </c:pt>
                <c:pt idx="13">
                  <c:v>2989974</c:v>
                </c:pt>
                <c:pt idx="14">
                  <c:v>2400000</c:v>
                </c:pt>
                <c:pt idx="15">
                  <c:v>1634548</c:v>
                </c:pt>
                <c:pt idx="16">
                  <c:v>936903</c:v>
                </c:pt>
                <c:pt idx="17">
                  <c:v>10382562</c:v>
                </c:pt>
                <c:pt idx="18">
                  <c:v>9527674.5</c:v>
                </c:pt>
                <c:pt idx="19">
                  <c:v>6115082</c:v>
                </c:pt>
                <c:pt idx="20">
                  <c:v>5400000</c:v>
                </c:pt>
                <c:pt idx="21">
                  <c:v>4372236</c:v>
                </c:pt>
                <c:pt idx="22">
                  <c:v>1606150.5</c:v>
                </c:pt>
                <c:pt idx="23">
                  <c:v>599984</c:v>
                </c:pt>
                <c:pt idx="24">
                  <c:v>308565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5E5-42B1-A1B0-3747EEC936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9"/>
        <c:axId val="1257932079"/>
        <c:axId val="1257932559"/>
      </c:barChart>
      <c:catAx>
        <c:axId val="125793207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7932559"/>
        <c:crosses val="autoZero"/>
        <c:auto val="1"/>
        <c:lblAlgn val="ctr"/>
        <c:lblOffset val="100"/>
        <c:noMultiLvlLbl val="0"/>
      </c:catAx>
      <c:valAx>
        <c:axId val="1257932559"/>
        <c:scaling>
          <c:orientation val="minMax"/>
        </c:scaling>
        <c:delete val="1"/>
        <c:axPos val="t"/>
        <c:numFmt formatCode="#,##0" sourceLinked="1"/>
        <c:majorTickMark val="none"/>
        <c:minorTickMark val="none"/>
        <c:tickLblPos val="nextTo"/>
        <c:crossAx val="1257932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10</xdr:col>
      <xdr:colOff>605118</xdr:colOff>
      <xdr:row>40</xdr:row>
      <xdr:rowOff>0</xdr:rowOff>
    </xdr:to>
    <xdr:graphicFrame macro="">
      <xdr:nvGraphicFramePr>
        <xdr:cNvPr id="3" name="chart2">
          <a:extLst>
            <a:ext uri="{FF2B5EF4-FFF2-40B4-BE49-F238E27FC236}">
              <a16:creationId xmlns:a16="http://schemas.microsoft.com/office/drawing/2014/main" id="{8B72FE46-B9AE-4FFD-8C31-B1250E64F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50052</xdr:colOff>
      <xdr:row>9</xdr:row>
      <xdr:rowOff>208803</xdr:rowOff>
    </xdr:from>
    <xdr:to>
      <xdr:col>20</xdr:col>
      <xdr:colOff>0</xdr:colOff>
      <xdr:row>40</xdr:row>
      <xdr:rowOff>0</xdr:rowOff>
    </xdr:to>
    <xdr:graphicFrame macro="">
      <xdr:nvGraphicFramePr>
        <xdr:cNvPr id="5" name="chart4">
          <a:extLst>
            <a:ext uri="{FF2B5EF4-FFF2-40B4-BE49-F238E27FC236}">
              <a16:creationId xmlns:a16="http://schemas.microsoft.com/office/drawing/2014/main" id="{AE647A3B-ECE6-420B-8FB6-11BA82036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2</xdr:row>
          <xdr:rowOff>0</xdr:rowOff>
        </xdr:from>
        <xdr:to>
          <xdr:col>25</xdr:col>
          <xdr:colOff>161925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ko-KR" altLang="en-US" sz="2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새로고침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ngKyu Ryu" refreshedDate="45645.63340486111" createdVersion="8" refreshedVersion="8" minRefreshableVersion="3" recordCount="255" xr:uid="{3D92D737-5BBB-46CF-A268-7880FF6B381C}">
  <cacheSource type="worksheet">
    <worksheetSource name="쿼리1"/>
  </cacheSource>
  <cacheFields count="17">
    <cacheField name="주문번호" numFmtId="0">
      <sharedItems/>
    </cacheField>
    <cacheField name="주문일자" numFmtId="0">
      <sharedItems/>
    </cacheField>
    <cacheField name="외주처명" numFmtId="0">
      <sharedItems count="3">
        <s v="엠에스팩"/>
        <s v="모든팩"/>
        <s v="진포장"/>
      </sharedItems>
    </cacheField>
    <cacheField name="공정코드" numFmtId="0">
      <sharedItems/>
    </cacheField>
    <cacheField name="공정납기일" numFmtId="0">
      <sharedItems/>
    </cacheField>
    <cacheField name="작업지시량" numFmtId="0">
      <sharedItems containsSemiMixedTypes="0" containsString="0" containsNumber="1" containsInteger="1" minValue="4800" maxValue="1200000"/>
    </cacheField>
    <cacheField name="품목이름" numFmtId="0">
      <sharedItems/>
    </cacheField>
    <cacheField name="품목타입" numFmtId="0">
      <sharedItems/>
    </cacheField>
    <cacheField name="품목너비" numFmtId="0">
      <sharedItems containsSemiMixedTypes="0" containsString="0" containsNumber="1" containsInteger="1" minValue="65" maxValue="580"/>
    </cacheField>
    <cacheField name="품목높이" numFmtId="0">
      <sharedItems containsSemiMixedTypes="0" containsString="0" containsNumber="1" containsInteger="1" minValue="150" maxValue="900"/>
    </cacheField>
    <cacheField name="제대타입" numFmtId="0">
      <sharedItems count="12">
        <s v="삼방-HD씨링"/>
        <s v="삼방"/>
        <s v="삼방스탠드-지퍼"/>
        <s v="삼방스탠드"/>
        <s v="삼방-지퍼"/>
        <s v="삼방꼬리"/>
        <s v="삼방-2폭-HD씨링"/>
        <s v="삼방-2폭"/>
        <s v="삼방꼬리-HD씨링"/>
        <s v="2단삼방-지퍼"/>
        <s v="간지"/>
        <s v="2단삼방스탠드-지퍼"/>
      </sharedItems>
    </cacheField>
    <cacheField name="CD_JAEDAETYPE" numFmtId="0">
      <sharedItems/>
    </cacheField>
    <cacheField name="단가key" numFmtId="0">
      <sharedItems/>
    </cacheField>
    <cacheField name="단가수정key" numFmtId="0">
      <sharedItems/>
    </cacheField>
    <cacheField name="basic_price" numFmtId="0">
      <sharedItems containsSemiMixedTypes="0" containsString="0" containsNumber="1" minValue="5" maxValue="40"/>
    </cacheField>
    <cacheField name="unit_price" numFmtId="0">
      <sharedItems containsSemiMixedTypes="0" containsString="0" containsNumber="1" minValue="4" maxValue="40"/>
    </cacheField>
    <cacheField name="estimate_price" numFmtId="0">
      <sharedItems containsSemiMixedTypes="0" containsString="0" containsNumber="1" minValue="26500" maxValue="84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5">
  <r>
    <s v="20241025-900008"/>
    <s v="20241025"/>
    <x v="0"/>
    <s v="05"/>
    <s v="20241202"/>
    <n v="720000"/>
    <s v="나이론70=무지=무지"/>
    <s v="==250x350=삼방"/>
    <n v="250"/>
    <n v="350"/>
    <x v="0"/>
    <s v="089"/>
    <s v="삼방-HD씨링-나이론70=무지=무지-250"/>
    <s v="삼방-HD씨링-나이론70=무지=무지-250"/>
    <n v="7"/>
    <n v="7.5"/>
    <n v="5400000"/>
  </r>
  <r>
    <s v="20241025-900012"/>
    <s v="20241028"/>
    <x v="1"/>
    <s v="05"/>
    <s v="20241203"/>
    <n v="562500"/>
    <s v="나이론70"/>
    <s v="320x400=삼방"/>
    <n v="320"/>
    <n v="400"/>
    <x v="0"/>
    <s v="089"/>
    <s v="삼방-HD씨링-나이론70-320"/>
    <s v="삼방-HD씨링-나이론70-320"/>
    <n v="8"/>
    <n v="8.5"/>
    <n v="4781250"/>
  </r>
  <r>
    <s v="20241111-1000136128"/>
    <s v="20241111"/>
    <x v="1"/>
    <s v="05"/>
    <s v="20241126"/>
    <n v="26086"/>
    <s v="나이론(유백/유무광)105"/>
    <s v="230mm*290mm=삼방"/>
    <n v="230"/>
    <n v="290"/>
    <x v="1"/>
    <s v="018"/>
    <s v="삼방-나이론(유백/유무광)105-230"/>
    <s v="삼방-나이론(유백/유무광)105-230"/>
    <n v="6"/>
    <n v="6"/>
    <n v="156516"/>
  </r>
  <r>
    <s v="20241112-900007"/>
    <s v="20241112"/>
    <x v="2"/>
    <s v="05"/>
    <s v="20241205"/>
    <n v="391304"/>
    <s v="나이론70"/>
    <s v="230x320=삼방"/>
    <n v="230"/>
    <n v="320"/>
    <x v="0"/>
    <s v="089"/>
    <s v="삼방-HD씨링-나이론70-230"/>
    <s v="삼방-HD씨링-나이론70-230"/>
    <n v="6"/>
    <n v="6.5"/>
    <n v="2543476"/>
  </r>
  <r>
    <s v="20241112-903002"/>
    <s v="20241112"/>
    <x v="2"/>
    <s v="05"/>
    <s v="20241128"/>
    <n v="240000"/>
    <s v="진지스120"/>
    <s v="150x220+40=삼방스탠드-타원밑지분리형-지퍼"/>
    <n v="150"/>
    <n v="220"/>
    <x v="2"/>
    <s v="048"/>
    <s v="삼방스탠드-지퍼-진지스120-150"/>
    <s v="삼방스탠드-지퍼-진지스120-150"/>
    <n v="21"/>
    <n v="21"/>
    <n v="5040000"/>
  </r>
  <r>
    <s v="20241113-1000169600"/>
    <s v="20241113"/>
    <x v="2"/>
    <s v="05"/>
    <s v="20241127"/>
    <n v="15000"/>
    <s v="패트(유백/유무광)82"/>
    <s v="400mm*290mm+45mm=삼방스탠드"/>
    <n v="400"/>
    <n v="290"/>
    <x v="3"/>
    <s v="046"/>
    <s v="삼방스탠드-패트(유백/유무광)82-400"/>
    <s v="삼방스탠드-패트(유백/유무광)82-400"/>
    <n v="40"/>
    <n v="40"/>
    <n v="600000"/>
  </r>
  <r>
    <s v="20241113-1000169601"/>
    <s v="20241113"/>
    <x v="1"/>
    <s v="05"/>
    <s v="20241126"/>
    <n v="25000"/>
    <s v="오씨피피(유무광)80"/>
    <s v="240mm*365mm=삼방-지퍼"/>
    <n v="240"/>
    <n v="365"/>
    <x v="4"/>
    <s v="052"/>
    <s v="삼방-지퍼-오씨피피(유무광)80-240"/>
    <s v="삼방-지퍼-오씨피피(유무광)80-240"/>
    <n v="24"/>
    <n v="24"/>
    <n v="600000"/>
  </r>
  <r>
    <s v="20241113-1219P0390"/>
    <s v="20241113"/>
    <x v="2"/>
    <s v="05"/>
    <s v="20241126"/>
    <n v="24000"/>
    <s v="나이론80"/>
    <s v="250x340=삼방"/>
    <n v="250"/>
    <n v="340"/>
    <x v="1"/>
    <s v="018"/>
    <s v="삼방-나이론80-250"/>
    <s v="삼방-나이론80-250"/>
    <n v="7"/>
    <n v="7"/>
    <n v="168000"/>
  </r>
  <r>
    <s v="20241113-130441"/>
    <s v="20241113"/>
    <x v="0"/>
    <s v="05"/>
    <s v="20241126"/>
    <n v="8571"/>
    <s v="나이론70"/>
    <s v="270x700=삼방꼬리"/>
    <n v="270"/>
    <n v="700"/>
    <x v="5"/>
    <s v="022"/>
    <s v="삼방꼬리-나이론70-270"/>
    <s v="삼방꼬리-나이론70-700"/>
    <n v="16"/>
    <n v="16"/>
    <n v="137136"/>
  </r>
  <r>
    <s v="20241114-1000149558"/>
    <s v="20241114"/>
    <x v="1"/>
    <s v="05"/>
    <s v="20241127"/>
    <n v="33333"/>
    <s v="나이론130"/>
    <s v="180x200=삼방"/>
    <n v="180"/>
    <n v="200"/>
    <x v="1"/>
    <s v="018"/>
    <s v="삼방-나이론130-180"/>
    <s v="삼방-나이론130-180"/>
    <n v="5"/>
    <n v="5"/>
    <n v="166665"/>
  </r>
  <r>
    <s v="20241114-1000156840"/>
    <s v="20241114"/>
    <x v="0"/>
    <s v="05"/>
    <s v="20241127"/>
    <n v="38709"/>
    <s v="나이론70"/>
    <s v="310mm*330mm=삼방"/>
    <n v="310"/>
    <n v="330"/>
    <x v="1"/>
    <s v="018"/>
    <s v="삼방-나이론70-310"/>
    <s v="삼방-나이론70-310"/>
    <n v="8"/>
    <n v="8"/>
    <n v="309672"/>
  </r>
  <r>
    <s v="20241114-1000163860"/>
    <s v="20241114"/>
    <x v="2"/>
    <s v="05"/>
    <s v="20241127"/>
    <n v="30769"/>
    <s v="오씨피피(투명)80"/>
    <s v="195x260=삼방-지퍼(하단오픈)"/>
    <n v="195"/>
    <n v="260"/>
    <x v="4"/>
    <s v="052"/>
    <s v="삼방-지퍼-오씨피피(투명)80-195"/>
    <s v="삼방-지퍼-오씨피피(투명)80-195"/>
    <n v="19"/>
    <n v="19"/>
    <n v="584611"/>
  </r>
  <r>
    <s v="20241114-1000165171"/>
    <s v="20241114"/>
    <x v="2"/>
    <s v="05"/>
    <s v="20241127"/>
    <n v="23076"/>
    <s v="나이론(투명)105"/>
    <s v="260mm*320mm=삼방-지퍼"/>
    <n v="260"/>
    <n v="320"/>
    <x v="4"/>
    <s v="052"/>
    <s v="삼방-지퍼-나이론(투명)105-260"/>
    <s v="삼방-지퍼-나이론(투명)105-260"/>
    <n v="26"/>
    <n v="26"/>
    <n v="599976"/>
  </r>
  <r>
    <s v="20241114-1420N0015"/>
    <s v="20241114"/>
    <x v="1"/>
    <s v="05"/>
    <s v="20241126"/>
    <n v="30000"/>
    <s v="나이론100 (120g)"/>
    <s v="200mm*360mm=삼방"/>
    <n v="200"/>
    <n v="360"/>
    <x v="1"/>
    <s v="018"/>
    <s v="삼방-나이론100 (120g)-200"/>
    <s v="삼방-나이론100 (120g)-200"/>
    <n v="5"/>
    <n v="5"/>
    <n v="150000"/>
  </r>
  <r>
    <s v="20241114-900002"/>
    <s v="20241114"/>
    <x v="2"/>
    <s v="05"/>
    <s v="20241129"/>
    <n v="320000"/>
    <s v="나이론70"/>
    <s v="150x200=삼방-2폭"/>
    <n v="150"/>
    <n v="200"/>
    <x v="6"/>
    <s v="091"/>
    <s v="삼방-2폭-HD씨링-나이론70-150"/>
    <s v="삼방-2폭-HD씨링-나이론70-150"/>
    <n v="5"/>
    <n v="4.5"/>
    <n v="1440000"/>
  </r>
  <r>
    <s v="20241114-900005"/>
    <s v="20241114"/>
    <x v="2"/>
    <s v="05"/>
    <s v="20241212"/>
    <n v="600000"/>
    <s v="나이론70=무지"/>
    <s v="200x300=삼방"/>
    <n v="200"/>
    <n v="300"/>
    <x v="0"/>
    <s v="089"/>
    <s v="삼방-HD씨링-나이론70=무지-200"/>
    <s v="삼방-HD씨링-나이론70=무지-200"/>
    <n v="5"/>
    <n v="5.5"/>
    <n v="3300000"/>
  </r>
  <r>
    <s v="20241114-903004"/>
    <s v="20241114"/>
    <x v="2"/>
    <s v="05"/>
    <s v="20241129"/>
    <n v="369230"/>
    <s v="진지스120"/>
    <s v="130x200+35=삼방스탠드-타원밑지분리형-지퍼"/>
    <n v="130"/>
    <n v="200"/>
    <x v="2"/>
    <s v="048"/>
    <s v="삼방스탠드-지퍼-진지스120-130"/>
    <s v="삼방스탠드-지퍼-진지스120-130"/>
    <n v="18.2"/>
    <n v="18.2"/>
    <n v="6719986"/>
  </r>
  <r>
    <s v="20241114-903005"/>
    <s v="20241114"/>
    <x v="0"/>
    <s v="05"/>
    <s v="20241129"/>
    <n v="120000"/>
    <s v="진지스120"/>
    <s v="200x300+55=삼방스탠드-타원밑지분리형-지퍼"/>
    <n v="200"/>
    <n v="300"/>
    <x v="2"/>
    <s v="048"/>
    <s v="삼방스탠드-지퍼-진지스120-200"/>
    <s v="삼방스탠드-지퍼-진지스120-200"/>
    <n v="28"/>
    <n v="28"/>
    <n v="3360000"/>
  </r>
  <r>
    <s v="20241115-1000151408"/>
    <s v="20241115"/>
    <x v="2"/>
    <s v="05"/>
    <s v="20241128"/>
    <n v="12000"/>
    <s v="나이론(투명)95"/>
    <s v="250mm*370mm=삼방-지퍼"/>
    <n v="250"/>
    <n v="370"/>
    <x v="4"/>
    <s v="052"/>
    <s v="삼방-지퍼-나이론(투명)95-250"/>
    <s v="삼방-지퍼-나이론(투명)95-250"/>
    <n v="25"/>
    <n v="25"/>
    <n v="300000"/>
  </r>
  <r>
    <s v="20241115-1000167225"/>
    <s v="20241115"/>
    <x v="1"/>
    <s v="05"/>
    <s v="20241128"/>
    <n v="40000"/>
    <s v="나이론105"/>
    <s v="300mm*520mm=삼방"/>
    <n v="300"/>
    <n v="520"/>
    <x v="1"/>
    <s v="018"/>
    <s v="삼방-나이론105-300"/>
    <s v="삼방-나이론105-300"/>
    <n v="8"/>
    <n v="8"/>
    <n v="320000"/>
  </r>
  <r>
    <s v="20241115-1000169584"/>
    <s v="20241115"/>
    <x v="2"/>
    <s v="05"/>
    <s v="20241128"/>
    <n v="37500"/>
    <s v="나이론100"/>
    <s v="320mm*430mm=삼방-지퍼"/>
    <n v="320"/>
    <n v="430"/>
    <x v="4"/>
    <s v="052"/>
    <s v="삼방-지퍼-나이론100-320"/>
    <s v="삼방-지퍼-나이론100-320"/>
    <n v="32"/>
    <n v="32"/>
    <n v="1200000"/>
  </r>
  <r>
    <s v="20241115-1000169630"/>
    <s v="20241115"/>
    <x v="2"/>
    <s v="05"/>
    <s v="20241127"/>
    <n v="17142"/>
    <s v="나이론60"/>
    <s v="350x400=삼방"/>
    <n v="350"/>
    <n v="400"/>
    <x v="1"/>
    <s v="018"/>
    <s v="삼방-나이론60-350"/>
    <s v="삼방-나이론60-350"/>
    <n v="9"/>
    <n v="9"/>
    <n v="154278"/>
  </r>
  <r>
    <s v="20241115-1117P0099"/>
    <s v="20241115"/>
    <x v="2"/>
    <s v="05"/>
    <s v="20241128"/>
    <n v="27272"/>
    <s v="나이론100"/>
    <s v="220x340=삼방"/>
    <n v="220"/>
    <n v="340"/>
    <x v="1"/>
    <s v="018"/>
    <s v="삼방-나이론100-220"/>
    <s v="삼방-나이론100-220"/>
    <n v="6"/>
    <n v="6"/>
    <n v="163632"/>
  </r>
  <r>
    <s v="20241115-12150501"/>
    <s v="20241114"/>
    <x v="2"/>
    <s v="05"/>
    <s v="20241126"/>
    <n v="21428"/>
    <s v="나이론70"/>
    <s v="280mm*380mm=삼방"/>
    <n v="280"/>
    <n v="380"/>
    <x v="1"/>
    <s v="018"/>
    <s v="삼방-나이론70-280"/>
    <s v="삼방-나이론70-280"/>
    <n v="7"/>
    <n v="7"/>
    <n v="149996"/>
  </r>
  <r>
    <s v="20241115-1219P0139"/>
    <s v="20241115"/>
    <x v="0"/>
    <s v="05"/>
    <s v="20241128"/>
    <n v="13333"/>
    <s v="나이론(유무광)70"/>
    <s v="350x450=삼방꼬리"/>
    <n v="350"/>
    <n v="450"/>
    <x v="5"/>
    <s v="022"/>
    <s v="삼방꼬리-나이론(유무광)70-350"/>
    <s v="삼방꼬리-나이론(유무광)70-450"/>
    <n v="12"/>
    <n v="12"/>
    <n v="159996"/>
  </r>
  <r>
    <s v="20241115-140525"/>
    <s v="20241114"/>
    <x v="2"/>
    <s v="05"/>
    <s v="20241126"/>
    <n v="21428"/>
    <s v="나이론70"/>
    <s v="280mm*380mm=삼방"/>
    <n v="280"/>
    <n v="380"/>
    <x v="1"/>
    <s v="018"/>
    <s v="삼방-나이론70-280"/>
    <s v="삼방-나이론70-280"/>
    <n v="7"/>
    <n v="7"/>
    <n v="149996"/>
  </r>
  <r>
    <s v="20241115-914002"/>
    <s v="20241115"/>
    <x v="2"/>
    <s v="05"/>
    <s v="20241203"/>
    <n v="360000"/>
    <s v="전투지120=무지"/>
    <s v="=200x300=삼방-지퍼-2단걸이"/>
    <n v="200"/>
    <n v="300"/>
    <x v="4"/>
    <s v="052"/>
    <s v="삼방-지퍼-전투지120=무지-200"/>
    <s v="삼방-지퍼-전투지120=무지-200"/>
    <n v="20"/>
    <n v="20"/>
    <n v="7200000"/>
  </r>
  <r>
    <s v="20241118-1000146475"/>
    <s v="20241118"/>
    <x v="1"/>
    <s v="05"/>
    <s v="20241129"/>
    <n v="133333"/>
    <s v="나이론110"/>
    <s v="180x185=삼방-2폭"/>
    <n v="180"/>
    <n v="185"/>
    <x v="7"/>
    <s v="019"/>
    <s v="삼방-2폭-나이론110-180"/>
    <s v="삼방-2폭-나이론110-180"/>
    <n v="5"/>
    <n v="4"/>
    <n v="533332"/>
  </r>
  <r>
    <s v="20241118-1000158748"/>
    <s v="20241118"/>
    <x v="2"/>
    <s v="05"/>
    <s v="20241202"/>
    <n v="90000"/>
    <s v="나이론120"/>
    <s v="80mm*150mm=삼방"/>
    <n v="80"/>
    <n v="150"/>
    <x v="1"/>
    <s v="018"/>
    <s v="삼방-나이론120-80"/>
    <s v="삼방-나이론120-80"/>
    <n v="5"/>
    <n v="5"/>
    <n v="450000"/>
  </r>
  <r>
    <s v="20241118-1000158749"/>
    <s v="20241118"/>
    <x v="2"/>
    <s v="05"/>
    <s v="20241202"/>
    <n v="48000"/>
    <s v="나이론120"/>
    <s v="100mm*150mm=삼방"/>
    <n v="100"/>
    <n v="150"/>
    <x v="1"/>
    <s v="018"/>
    <s v="삼방-나이론120-100"/>
    <s v="삼방-나이론120-100"/>
    <n v="5"/>
    <n v="5"/>
    <n v="240000"/>
  </r>
  <r>
    <s v="20241118-1000159286"/>
    <s v="20241118"/>
    <x v="2"/>
    <s v="05"/>
    <s v="20241129"/>
    <n v="57142"/>
    <s v="은박(유무광)150"/>
    <s v="105x290=삼방"/>
    <n v="105"/>
    <n v="290"/>
    <x v="1"/>
    <s v="018"/>
    <s v="삼방-은박(유무광)150-105"/>
    <s v="삼방-은박(유무광)150-105"/>
    <n v="5"/>
    <n v="5"/>
    <n v="285710"/>
  </r>
  <r>
    <s v="20241118-1000169444"/>
    <s v="20241118"/>
    <x v="2"/>
    <s v="05"/>
    <s v="20241129"/>
    <n v="20000"/>
    <s v="패트(무광)100"/>
    <s v="300mm*320mm=삼방"/>
    <n v="300"/>
    <n v="320"/>
    <x v="1"/>
    <s v="018"/>
    <s v="삼방-패트(무광)100-300"/>
    <s v="삼방-패트(무광)100-300"/>
    <n v="8"/>
    <n v="8"/>
    <n v="160000"/>
  </r>
  <r>
    <s v="20241118-1117N0054"/>
    <s v="20241118"/>
    <x v="0"/>
    <s v="05"/>
    <s v="20241129"/>
    <n v="48000"/>
    <s v="나이론(옥텐)90"/>
    <s v="250mm*305mm=삼방"/>
    <n v="250"/>
    <n v="305"/>
    <x v="1"/>
    <s v="018"/>
    <s v="삼방-나이론(옥텐)90-250"/>
    <s v="삼방-나이론(옥텐)90-250"/>
    <n v="7"/>
    <n v="7"/>
    <n v="336000"/>
  </r>
  <r>
    <s v="20241118-1117N0055"/>
    <s v="20241118"/>
    <x v="2"/>
    <s v="05"/>
    <s v="20241129"/>
    <n v="40000"/>
    <s v="나이론(옥텐)100"/>
    <s v="300x405=삼방"/>
    <n v="300"/>
    <n v="405"/>
    <x v="1"/>
    <s v="018"/>
    <s v="삼방-나이론(옥텐)100-300"/>
    <s v="삼방-나이론(옥텐)100-300"/>
    <n v="8"/>
    <n v="8"/>
    <n v="320000"/>
  </r>
  <r>
    <s v="20241118-1217N0013"/>
    <s v="20241118"/>
    <x v="0"/>
    <s v="05"/>
    <s v="20241128"/>
    <n v="21428"/>
    <s v="나이론100"/>
    <s v="280x380=삼방"/>
    <n v="280"/>
    <n v="380"/>
    <x v="1"/>
    <s v="018"/>
    <s v="삼방-나이론100-280"/>
    <s v="삼방-나이론100-280"/>
    <n v="7"/>
    <n v="7"/>
    <n v="149996"/>
  </r>
  <r>
    <s v="20241118-130441"/>
    <s v="20241118"/>
    <x v="2"/>
    <s v="05"/>
    <s v="20241129"/>
    <n v="8571"/>
    <s v="나이론70"/>
    <s v="270x700=삼방꼬리"/>
    <n v="270"/>
    <n v="700"/>
    <x v="5"/>
    <s v="022"/>
    <s v="삼방꼬리-나이론70-270"/>
    <s v="삼방꼬리-나이론70-700"/>
    <n v="16"/>
    <n v="16"/>
    <n v="137136"/>
  </r>
  <r>
    <s v="20241118-900001"/>
    <s v="20241118"/>
    <x v="1"/>
    <s v="05"/>
    <s v="20241206"/>
    <n v="1200000"/>
    <s v="나이론70"/>
    <s v="100x150=삼방-2폭"/>
    <n v="100"/>
    <n v="150"/>
    <x v="6"/>
    <s v="091"/>
    <s v="삼방-2폭-HD씨링-나이론70-100"/>
    <s v="삼방-2폭-HD씨링-나이론70-100"/>
    <n v="5"/>
    <n v="4.5"/>
    <n v="5400000"/>
  </r>
  <r>
    <s v="20241118-900004"/>
    <s v="20241118"/>
    <x v="2"/>
    <s v="05"/>
    <s v="20241216"/>
    <n v="666666"/>
    <s v="나이론70"/>
    <s v="180x280=삼방"/>
    <n v="180"/>
    <n v="280"/>
    <x v="0"/>
    <s v="089"/>
    <s v="삼방-HD씨링-나이론70-180"/>
    <s v="삼방-HD씨링-나이론70-180"/>
    <n v="5"/>
    <n v="5.5"/>
    <n v="3666663"/>
  </r>
  <r>
    <s v="20241118-900006"/>
    <s v="20241118"/>
    <x v="2"/>
    <s v="05"/>
    <s v="20241203"/>
    <n v="180000"/>
    <s v="나이론70=무지"/>
    <s v="200x450=삼방"/>
    <n v="200"/>
    <n v="450"/>
    <x v="0"/>
    <s v="089"/>
    <s v="삼방-HD씨링-나이론70=무지-200"/>
    <s v="삼방-HD씨링-나이론70=무지-200"/>
    <n v="5"/>
    <n v="5.5"/>
    <n v="990000"/>
  </r>
  <r>
    <s v="20241118-900007"/>
    <s v="20241118"/>
    <x v="2"/>
    <s v="05"/>
    <s v="20241209"/>
    <n v="313043"/>
    <s v="나이론70"/>
    <s v="230x320=삼방"/>
    <n v="230"/>
    <n v="320"/>
    <x v="0"/>
    <s v="089"/>
    <s v="삼방-HD씨링-나이론70-230"/>
    <s v="삼방-HD씨링-나이론70-230"/>
    <n v="6"/>
    <n v="6.5"/>
    <n v="2034779.5"/>
  </r>
  <r>
    <s v="20241118-900008"/>
    <s v="20241118"/>
    <x v="2"/>
    <s v="05"/>
    <s v="20241216"/>
    <n v="480000"/>
    <s v="나이론70=무지=무지"/>
    <s v="==250x350=삼방"/>
    <n v="250"/>
    <n v="350"/>
    <x v="0"/>
    <s v="089"/>
    <s v="삼방-HD씨링-나이론70=무지=무지-250"/>
    <s v="삼방-HD씨링-나이론70=무지=무지-250"/>
    <n v="7"/>
    <n v="7.5"/>
    <n v="3600000"/>
  </r>
  <r>
    <s v="20241118-900009"/>
    <s v="20241118"/>
    <x v="2"/>
    <s v="05"/>
    <s v="20241204"/>
    <n v="144000"/>
    <s v="나이론70"/>
    <s v="250x400=삼방"/>
    <n v="250"/>
    <n v="400"/>
    <x v="0"/>
    <s v="089"/>
    <s v="삼방-HD씨링-나이론70-250"/>
    <s v="삼방-HD씨링-나이론70-250"/>
    <n v="7"/>
    <n v="7.5"/>
    <n v="1080000"/>
  </r>
  <r>
    <s v="20241118-900010"/>
    <s v="20241118"/>
    <x v="0"/>
    <s v="05"/>
    <s v="20241204"/>
    <n v="192000"/>
    <s v="나이론70"/>
    <s v="250x450=삼방"/>
    <n v="250"/>
    <n v="450"/>
    <x v="0"/>
    <s v="089"/>
    <s v="삼방-HD씨링-나이론70-250"/>
    <s v="삼방-HD씨링-나이론70-250"/>
    <n v="7"/>
    <n v="7.5"/>
    <n v="1440000"/>
  </r>
  <r>
    <s v="20241118-900011"/>
    <s v="20241118"/>
    <x v="0"/>
    <s v="05"/>
    <s v="20241216"/>
    <n v="428571"/>
    <s v="나이론70=무지"/>
    <s v="280x380=삼방"/>
    <n v="280"/>
    <n v="380"/>
    <x v="0"/>
    <s v="089"/>
    <s v="삼방-HD씨링-나이론70=무지-280"/>
    <s v="삼방-HD씨링-나이론70=무지-280"/>
    <n v="7"/>
    <n v="7.5"/>
    <n v="3214282.5"/>
  </r>
  <r>
    <s v="20241118-900012"/>
    <s v="20241118"/>
    <x v="0"/>
    <s v="05"/>
    <s v="20241216"/>
    <n v="375000"/>
    <s v="나이론70"/>
    <s v="320x400=삼방"/>
    <n v="320"/>
    <n v="400"/>
    <x v="0"/>
    <s v="089"/>
    <s v="삼방-HD씨링-나이론70-320"/>
    <s v="삼방-HD씨링-나이론70-320"/>
    <n v="8"/>
    <n v="8.5"/>
    <n v="3187500"/>
  </r>
  <r>
    <s v="20241118-900014"/>
    <s v="20241118"/>
    <x v="1"/>
    <s v="05"/>
    <s v="20241202"/>
    <n v="68571"/>
    <s v="나이론70=무지"/>
    <s v="350x600=삼방"/>
    <n v="350"/>
    <n v="600"/>
    <x v="0"/>
    <s v="089"/>
    <s v="삼방-HD씨링-나이론70=무지-350"/>
    <s v="삼방-HD씨링-나이론70=무지-350"/>
    <n v="9"/>
    <n v="9.5"/>
    <n v="651424.5"/>
  </r>
  <r>
    <s v="20241118-900015"/>
    <s v="20241118"/>
    <x v="0"/>
    <s v="05"/>
    <s v="20241204"/>
    <n v="55384"/>
    <s v="나이론70"/>
    <s v="350mm*650mm=삼방꼬리-HD씨링"/>
    <n v="350"/>
    <n v="650"/>
    <x v="8"/>
    <s v="090"/>
    <s v="삼방꼬리-HD씨링-나이론70-350"/>
    <s v="삼방꼬리-HD씨링-나이론70-350"/>
    <n v="14"/>
    <n v="14.5"/>
    <n v="803068"/>
  </r>
  <r>
    <s v="20241118-900017"/>
    <s v="20241118"/>
    <x v="1"/>
    <s v="05"/>
    <s v="20241213"/>
    <n v="300000"/>
    <s v="나이론70"/>
    <s v="400x500=삼방"/>
    <n v="400"/>
    <n v="500"/>
    <x v="0"/>
    <s v="089"/>
    <s v="삼방-HD씨링-나이론70-400"/>
    <s v="삼방-HD씨링-나이론70-400"/>
    <n v="10"/>
    <n v="10.5"/>
    <n v="3150000"/>
  </r>
  <r>
    <s v="20241118-900023"/>
    <s v="20241118"/>
    <x v="1"/>
    <s v="05"/>
    <s v="20241206"/>
    <n v="110769"/>
    <s v="나이론70"/>
    <s v="500x650=삼방꼬리"/>
    <n v="500"/>
    <n v="650"/>
    <x v="8"/>
    <s v="090"/>
    <s v="삼방꼬리-HD씨링-나이론70-500"/>
    <s v="삼방꼬리-HD씨링-나이론70-500"/>
    <n v="14"/>
    <n v="14.5"/>
    <n v="1606150.5"/>
  </r>
  <r>
    <s v="20241118-901001"/>
    <s v="20241118"/>
    <x v="2"/>
    <s v="05"/>
    <s v="20241204"/>
    <n v="120000"/>
    <s v="나이론60"/>
    <s v="200x300=삼방"/>
    <n v="200"/>
    <n v="300"/>
    <x v="0"/>
    <s v="089"/>
    <s v="삼방-HD씨링-나이론60-200"/>
    <s v="삼방-HD씨링-나이론60-200"/>
    <n v="5"/>
    <n v="5.5"/>
    <n v="660000"/>
  </r>
  <r>
    <s v="20241118-901002"/>
    <s v="20241118"/>
    <x v="0"/>
    <s v="05"/>
    <s v="20241205"/>
    <n v="144000"/>
    <s v="나이론60=무지=무지"/>
    <s v="=250x350=삼방"/>
    <n v="250"/>
    <n v="350"/>
    <x v="0"/>
    <s v="089"/>
    <s v="삼방-HD씨링-나이론60=무지=무지-250"/>
    <s v="삼방-HD씨링-나이론60=무지=무지-250"/>
    <n v="7"/>
    <n v="7.5"/>
    <n v="1080000"/>
  </r>
  <r>
    <s v="20241118-901003"/>
    <s v="20241118"/>
    <x v="0"/>
    <s v="05"/>
    <s v="20241204"/>
    <n v="96000"/>
    <s v="나이론60=무지"/>
    <s v="=250x450=삼방"/>
    <n v="250"/>
    <n v="450"/>
    <x v="0"/>
    <s v="089"/>
    <s v="삼방-HD씨링-나이론60=무지-250"/>
    <s v="삼방-HD씨링-나이론60=무지-250"/>
    <n v="7"/>
    <n v="7.5"/>
    <n v="720000"/>
  </r>
  <r>
    <s v="20241118-901007"/>
    <s v="20241118"/>
    <x v="1"/>
    <s v="05"/>
    <s v="20241205"/>
    <n v="90000"/>
    <s v="나이론60"/>
    <s v="400x600=삼방"/>
    <n v="400"/>
    <n v="600"/>
    <x v="0"/>
    <s v="089"/>
    <s v="삼방-HD씨링-나이론60-400"/>
    <s v="삼방-HD씨링-나이론60-400"/>
    <n v="10"/>
    <n v="10.5"/>
    <n v="945000"/>
  </r>
  <r>
    <s v="20241118-902002"/>
    <s v="20241118"/>
    <x v="1"/>
    <s v="05"/>
    <s v="20241203"/>
    <n v="180000"/>
    <s v="진지90"/>
    <s v="200*300=삼방-지퍼"/>
    <n v="200"/>
    <n v="300"/>
    <x v="4"/>
    <s v="052"/>
    <s v="삼방-지퍼-진지90-200"/>
    <s v="삼방-지퍼-진지90-200"/>
    <n v="20"/>
    <n v="20"/>
    <n v="3600000"/>
  </r>
  <r>
    <s v="20241118-911001"/>
    <s v="20241118"/>
    <x v="2"/>
    <s v="05"/>
    <s v="20241203"/>
    <n v="240000"/>
    <s v="&lt;단종&gt;은지스120"/>
    <s v="100x170+30=삼방스탠드-타원밑지분리형-지퍼"/>
    <n v="100"/>
    <n v="170"/>
    <x v="2"/>
    <s v="048"/>
    <s v="삼방스탠드-지퍼-&lt;단종&gt;은지스120-100"/>
    <s v="삼방스탠드-지퍼-&lt;단종&gt;은지스120-100"/>
    <n v="14"/>
    <n v="14"/>
    <n v="3360000"/>
  </r>
  <r>
    <s v="20241118-911002"/>
    <s v="20241118"/>
    <x v="2"/>
    <s v="05"/>
    <s v="20241205"/>
    <n v="160000"/>
    <s v="은지스120"/>
    <s v="150x220+40=삼방스탠드-타원밑지분리형-지퍼"/>
    <n v="150"/>
    <n v="220"/>
    <x v="2"/>
    <s v="048"/>
    <s v="삼방스탠드-지퍼-은지스120-150"/>
    <s v="삼방스탠드-지퍼-은지스120-150"/>
    <n v="21"/>
    <n v="21"/>
    <n v="3360000"/>
  </r>
  <r>
    <s v="20241118-911003"/>
    <s v="20241118"/>
    <x v="2"/>
    <s v="05"/>
    <s v="20241205"/>
    <n v="133333"/>
    <s v="은지스120"/>
    <s v="180x260+50=삼방스탠드-타원밑지분리형-지퍼"/>
    <n v="180"/>
    <n v="260"/>
    <x v="2"/>
    <s v="048"/>
    <s v="삼방스탠드-지퍼-은지스120-180"/>
    <s v="삼방스탠드-지퍼-은지스120-180"/>
    <n v="25.2"/>
    <n v="25.2"/>
    <n v="3359991.6"/>
  </r>
  <r>
    <s v="20241118-911004"/>
    <s v="20241118"/>
    <x v="0"/>
    <s v="05"/>
    <s v="20241203"/>
    <n v="184615"/>
    <s v="&lt;단종&gt;은지스120"/>
    <s v="130*200+40=삼방스탠드-타원밑지분리형-지퍼"/>
    <n v="130"/>
    <n v="200"/>
    <x v="2"/>
    <s v="048"/>
    <s v="삼방스탠드-지퍼-&lt;단종&gt;은지스120-130"/>
    <s v="삼방스탠드-지퍼-&lt;단종&gt;은지스120-130"/>
    <n v="18.2"/>
    <n v="18.2"/>
    <n v="3359993"/>
  </r>
  <r>
    <s v="20241118-911005"/>
    <s v="20241118"/>
    <x v="0"/>
    <s v="05"/>
    <s v="20241205"/>
    <n v="120000"/>
    <s v="은지스130"/>
    <s v="200x300+55=삼방스탠드-타원밑지분리형-지퍼"/>
    <n v="200"/>
    <n v="300"/>
    <x v="2"/>
    <s v="048"/>
    <s v="삼방스탠드-지퍼-은지스130-200"/>
    <s v="삼방스탠드-지퍼-은지스130-200"/>
    <n v="28"/>
    <n v="28"/>
    <n v="3360000"/>
  </r>
  <r>
    <s v="20241119-1000141287"/>
    <s v="20241119"/>
    <x v="0"/>
    <s v="05"/>
    <s v="20241202"/>
    <n v="10000"/>
    <s v="오씨피피(투명)70"/>
    <s v="300mm*390mm=삼방-지퍼"/>
    <n v="300"/>
    <n v="390"/>
    <x v="4"/>
    <s v="052"/>
    <s v="삼방-지퍼-오씨피피(투명)70-300"/>
    <s v="삼방-지퍼-오씨피피(투명)70-300"/>
    <n v="7"/>
    <n v="7"/>
    <n v="70000"/>
  </r>
  <r>
    <s v="20241119-1000143472"/>
    <s v="20241119"/>
    <x v="0"/>
    <s v="05"/>
    <s v="20241129"/>
    <n v="7200"/>
    <s v="나이론100"/>
    <s v="250mm*320mm=삼방"/>
    <n v="250"/>
    <n v="320"/>
    <x v="1"/>
    <s v="018"/>
    <s v="삼방-나이론100-250"/>
    <s v="삼방-나이론100-250"/>
    <n v="7"/>
    <n v="7"/>
    <n v="50400"/>
  </r>
  <r>
    <s v="20241119-1000147192"/>
    <s v="20241119"/>
    <x v="1"/>
    <s v="05"/>
    <s v="20241204"/>
    <n v="20000"/>
    <s v="은박150"/>
    <s v="300mm*330mm=삼방"/>
    <n v="300"/>
    <n v="330"/>
    <x v="1"/>
    <s v="018"/>
    <s v="삼방-은박150-300"/>
    <s v="삼방-은박150-300"/>
    <n v="8"/>
    <n v="8"/>
    <n v="160000"/>
  </r>
  <r>
    <s v="20241119-1000151738"/>
    <s v="20241119"/>
    <x v="2"/>
    <s v="05"/>
    <s v="20241202"/>
    <n v="18181"/>
    <s v="나이론70"/>
    <s v="330x220=삼방-가분수"/>
    <n v="330"/>
    <n v="220"/>
    <x v="1"/>
    <s v="018"/>
    <s v="삼방-나이론70-330"/>
    <s v="삼방-나이론70-330"/>
    <n v="9"/>
    <n v="9"/>
    <n v="163629"/>
  </r>
  <r>
    <s v="20241119-1000156330"/>
    <s v="20241119"/>
    <x v="2"/>
    <s v="05"/>
    <s v="20241202"/>
    <n v="24000"/>
    <s v="오씨피피(투명)80"/>
    <s v="250mm*340mm=삼방-지퍼"/>
    <n v="250"/>
    <n v="340"/>
    <x v="4"/>
    <s v="052"/>
    <s v="삼방-지퍼-오씨피피(투명)80-250"/>
    <s v="삼방-지퍼-오씨피피(투명)80-250"/>
    <n v="25"/>
    <n v="25"/>
    <n v="600000"/>
  </r>
  <r>
    <s v="20241119-1000160651"/>
    <s v="20241119"/>
    <x v="2"/>
    <s v="05"/>
    <s v="20241129"/>
    <n v="22222"/>
    <s v="패트100"/>
    <s v="270mm*290mm=삼방-지퍼"/>
    <n v="270"/>
    <n v="290"/>
    <x v="4"/>
    <s v="052"/>
    <s v="삼방-지퍼-패트100-270"/>
    <s v="삼방-지퍼-패트100-270"/>
    <n v="27"/>
    <n v="27"/>
    <n v="599994"/>
  </r>
  <r>
    <s v="20241119-1000165156"/>
    <s v="20241119"/>
    <x v="2"/>
    <s v="05"/>
    <s v="20241205"/>
    <n v="75000"/>
    <s v="패트(유백)60"/>
    <s v="400x450+40=삼방풀발이-핫멜트"/>
    <n v="400"/>
    <n v="450"/>
    <x v="9"/>
    <s v="026"/>
    <s v="2단삼방-지퍼-패트(유백)60-400"/>
    <s v="2단삼방-지퍼-패트(유백)60-400"/>
    <n v="32"/>
    <n v="32"/>
    <n v="2400000"/>
  </r>
  <r>
    <s v="20241119-1000165165"/>
    <s v="20241118"/>
    <x v="1"/>
    <s v="05"/>
    <s v="20241128"/>
    <n v="40000"/>
    <s v="나이론105"/>
    <s v="300mm*420mm=삼방"/>
    <n v="300"/>
    <n v="420"/>
    <x v="1"/>
    <s v="018"/>
    <s v="삼방-나이론105-300"/>
    <s v="삼방-나이론105-300"/>
    <n v="8"/>
    <n v="8"/>
    <n v="320000"/>
  </r>
  <r>
    <s v="20241119-1000169701"/>
    <s v="20241119"/>
    <x v="0"/>
    <s v="05"/>
    <s v="20241202"/>
    <n v="30000"/>
    <s v="나이론70"/>
    <s v="200mm*300mm=삼방"/>
    <n v="200"/>
    <n v="300"/>
    <x v="1"/>
    <s v="018"/>
    <s v="삼방-나이론70-200"/>
    <s v="삼방-나이론70-200"/>
    <n v="5"/>
    <n v="5"/>
    <n v="150000"/>
  </r>
  <r>
    <s v="20241119-1000169724"/>
    <s v="20241119"/>
    <x v="2"/>
    <s v="05"/>
    <s v="20241129"/>
    <n v="12000"/>
    <s v="나이론70"/>
    <s v="250*350=삼방"/>
    <n v="250"/>
    <n v="350"/>
    <x v="1"/>
    <s v="018"/>
    <s v="삼방-나이론70-250"/>
    <s v="삼방-나이론70-250"/>
    <n v="7"/>
    <n v="7"/>
    <n v="84000"/>
  </r>
  <r>
    <s v="20241119-11150281"/>
    <s v="20241118"/>
    <x v="1"/>
    <s v="05"/>
    <s v="20241127"/>
    <n v="24000"/>
    <s v="나이론(유백/유무광)115"/>
    <s v="250mm*300mm=삼방-지퍼"/>
    <n v="250"/>
    <n v="300"/>
    <x v="4"/>
    <s v="052"/>
    <s v="삼방-지퍼-나이론(유백/유무광)115-250"/>
    <s v="삼방-지퍼-나이론(유백/유무광)115-250"/>
    <n v="25"/>
    <n v="25"/>
    <n v="600000"/>
  </r>
  <r>
    <s v="20241119-1116P0191"/>
    <s v="20241119"/>
    <x v="1"/>
    <s v="05"/>
    <s v="20241202"/>
    <n v="10909"/>
    <s v="나이론(옥텐)140"/>
    <s v="400x550=삼방꼬리"/>
    <n v="400"/>
    <n v="550"/>
    <x v="5"/>
    <s v="022"/>
    <s v="삼방꼬리-나이론(옥텐)140-400"/>
    <s v="삼방꼬리-나이론(옥텐)140-550"/>
    <n v="22"/>
    <n v="22"/>
    <n v="239998"/>
  </r>
  <r>
    <s v="20241119-120429"/>
    <s v="20241119"/>
    <x v="2"/>
    <s v="05"/>
    <s v="20241129"/>
    <n v="12000"/>
    <s v="나이론70"/>
    <s v="250*350=삼방"/>
    <n v="250"/>
    <n v="350"/>
    <x v="1"/>
    <s v="018"/>
    <s v="삼방-나이론70-250"/>
    <s v="삼방-나이론70-250"/>
    <n v="7"/>
    <n v="7"/>
    <n v="84000"/>
  </r>
  <r>
    <s v="20241119-1219N0043"/>
    <s v="20241119"/>
    <x v="0"/>
    <s v="05"/>
    <s v="20241129"/>
    <n v="16800"/>
    <s v="나이론100"/>
    <s v="250x400=삼방"/>
    <n v="250"/>
    <n v="400"/>
    <x v="1"/>
    <s v="018"/>
    <s v="삼방-나이론100-250"/>
    <s v="삼방-나이론100-250"/>
    <n v="7"/>
    <n v="7"/>
    <n v="117600"/>
  </r>
  <r>
    <s v="20241119-131070"/>
    <s v="20241119"/>
    <x v="0"/>
    <s v="05"/>
    <s v="20241202"/>
    <n v="19354"/>
    <s v="나이론70"/>
    <s v="310x340=삼방"/>
    <n v="310"/>
    <n v="340"/>
    <x v="1"/>
    <s v="018"/>
    <s v="삼방-나이론70-310"/>
    <s v="삼방-나이론70-310"/>
    <n v="8"/>
    <n v="8"/>
    <n v="154832"/>
  </r>
  <r>
    <s v="20241119-13160067"/>
    <s v="20241119"/>
    <x v="2"/>
    <s v="05"/>
    <s v="20241129"/>
    <n v="57142"/>
    <s v="은박90"/>
    <s v="210x210=삼방"/>
    <n v="210"/>
    <n v="210"/>
    <x v="1"/>
    <s v="018"/>
    <s v="삼방-은박90-210"/>
    <s v="삼방-은박90-210"/>
    <n v="6"/>
    <n v="6"/>
    <n v="342852"/>
  </r>
  <r>
    <s v="20241119-140857"/>
    <s v="20241119"/>
    <x v="0"/>
    <s v="05"/>
    <s v="20241203"/>
    <n v="40000"/>
    <s v="은박120"/>
    <s v="150x240=삼방"/>
    <n v="150"/>
    <n v="240"/>
    <x v="1"/>
    <s v="018"/>
    <s v="삼방-은박120-150"/>
    <s v="삼방-은박120-150"/>
    <n v="5"/>
    <n v="5"/>
    <n v="200000"/>
  </r>
  <r>
    <s v="20241119-1419P0348"/>
    <s v="20241119"/>
    <x v="1"/>
    <s v="05"/>
    <s v="20241202"/>
    <n v="26086"/>
    <s v="오씨피피(투명)70"/>
    <s v="230x300=삼방-지퍼(하단오픈)"/>
    <n v="230"/>
    <n v="300"/>
    <x v="4"/>
    <s v="052"/>
    <s v="삼방-지퍼-오씨피피(투명)70-230"/>
    <s v="삼방-지퍼-오씨피피(투명)70-230"/>
    <n v="7"/>
    <n v="7"/>
    <n v="182602"/>
  </r>
  <r>
    <s v="20241120-1000137584"/>
    <s v="20241120"/>
    <x v="1"/>
    <s v="05"/>
    <s v="20241203"/>
    <n v="26086"/>
    <s v="나이론70"/>
    <s v="230mm*320mm=삼방"/>
    <n v="230"/>
    <n v="320"/>
    <x v="1"/>
    <s v="018"/>
    <s v="삼방-나이론70-230"/>
    <s v="삼방-나이론70-230"/>
    <n v="6"/>
    <n v="6"/>
    <n v="156516"/>
  </r>
  <r>
    <s v="20241120-1000139378"/>
    <s v="20241120"/>
    <x v="2"/>
    <s v="05"/>
    <s v="20241204"/>
    <n v="50000"/>
    <s v="패트140"/>
    <s v="120x180+30=삼방스탠드-타원밑지분리형"/>
    <n v="120"/>
    <n v="180"/>
    <x v="3"/>
    <s v="046"/>
    <s v="삼방스탠드-패트140-120"/>
    <s v="삼방스탠드-패트140-120"/>
    <n v="12"/>
    <n v="12"/>
    <n v="600000"/>
  </r>
  <r>
    <s v="20241120-1000167349"/>
    <s v="20241119"/>
    <x v="0"/>
    <s v="05"/>
    <s v="20241202"/>
    <n v="22222"/>
    <s v="나이론105"/>
    <s v="270mm*350mm=삼방"/>
    <n v="270"/>
    <n v="350"/>
    <x v="1"/>
    <s v="018"/>
    <s v="삼방-나이론105-270"/>
    <s v="삼방-나이론105-270"/>
    <n v="7"/>
    <n v="7"/>
    <n v="155554"/>
  </r>
  <r>
    <s v="20241120-1000167482"/>
    <s v="20241119"/>
    <x v="2"/>
    <s v="05"/>
    <s v="20241128"/>
    <n v="20000"/>
    <s v="나이론80"/>
    <s v="300mm*445mm=삼방-지퍼"/>
    <n v="300"/>
    <n v="445"/>
    <x v="4"/>
    <s v="052"/>
    <s v="삼방-지퍼-나이론80-300"/>
    <s v="삼방-지퍼-나이론80-300"/>
    <n v="30"/>
    <n v="30"/>
    <n v="600000"/>
  </r>
  <r>
    <s v="20241120-1000167761"/>
    <s v="20241119"/>
    <x v="1"/>
    <s v="05"/>
    <s v="20241202"/>
    <n v="30000"/>
    <s v="패트100"/>
    <s v="400mm*530mm=삼방"/>
    <n v="400"/>
    <n v="530"/>
    <x v="1"/>
    <s v="018"/>
    <s v="삼방-패트100-400"/>
    <s v="삼방-패트100-400"/>
    <n v="10"/>
    <n v="10"/>
    <n v="300000"/>
  </r>
  <r>
    <s v="20241120-1000169370"/>
    <s v="20241120"/>
    <x v="2"/>
    <s v="05"/>
    <s v="20241203"/>
    <n v="18750"/>
    <s v="오씨피피(투명)70"/>
    <s v="250mm*320mm=삼방꼬리"/>
    <n v="250"/>
    <n v="320"/>
    <x v="5"/>
    <s v="022"/>
    <s v="삼방꼬리-오씨피피(투명)70-250"/>
    <s v="삼방꼬리-오씨피피(투명)70-320"/>
    <n v="7"/>
    <n v="7"/>
    <n v="131250"/>
  </r>
  <r>
    <s v="20241120-1000169417"/>
    <s v="20241120"/>
    <x v="2"/>
    <s v="05"/>
    <s v="20241203"/>
    <n v="18500"/>
    <s v="패트60"/>
    <s v="160x200=삼방"/>
    <n v="160"/>
    <n v="200"/>
    <x v="1"/>
    <s v="018"/>
    <s v="삼방-패트60-160"/>
    <s v="삼방-패트60-160"/>
    <n v="5"/>
    <n v="5"/>
    <n v="92500"/>
  </r>
  <r>
    <s v="20241120-1000169634"/>
    <s v="20241119"/>
    <x v="1"/>
    <s v="05"/>
    <s v="20241202"/>
    <n v="24000"/>
    <s v="나이론70"/>
    <s v="250mm*210mm=삼방"/>
    <n v="250"/>
    <n v="210"/>
    <x v="1"/>
    <s v="018"/>
    <s v="삼방-나이론70-250"/>
    <s v="삼방-나이론70-250"/>
    <n v="7"/>
    <n v="7"/>
    <n v="168000"/>
  </r>
  <r>
    <s v="20241120-1000169637"/>
    <s v="20241119"/>
    <x v="1"/>
    <s v="05"/>
    <s v="20241202"/>
    <n v="24000"/>
    <s v="나이론70"/>
    <s v="250mm*300mm=삼방"/>
    <n v="250"/>
    <n v="300"/>
    <x v="1"/>
    <s v="018"/>
    <s v="삼방-나이론70-250"/>
    <s v="삼방-나이론70-250"/>
    <n v="7"/>
    <n v="7"/>
    <n v="168000"/>
  </r>
  <r>
    <s v="20241120-1000169726"/>
    <s v="20241120"/>
    <x v="2"/>
    <s v="05"/>
    <s v="20241204"/>
    <n v="86900"/>
    <s v="패트60"/>
    <s v="160x200=삼방"/>
    <n v="160"/>
    <n v="200"/>
    <x v="1"/>
    <s v="018"/>
    <s v="삼방-패트60-160"/>
    <s v="삼방-패트60-160"/>
    <n v="5"/>
    <n v="5"/>
    <n v="434500"/>
  </r>
  <r>
    <s v="20241120-1000169728"/>
    <s v="20241120"/>
    <x v="2"/>
    <s v="05"/>
    <s v="20241203"/>
    <n v="10100"/>
    <s v="패트60"/>
    <s v="160x200=삼방"/>
    <n v="160"/>
    <n v="200"/>
    <x v="1"/>
    <s v="018"/>
    <s v="삼방-패트60-160"/>
    <s v="삼방-패트60-160"/>
    <n v="5"/>
    <n v="5"/>
    <n v="50500"/>
  </r>
  <r>
    <s v="20241120-1000169734"/>
    <s v="20241120"/>
    <x v="2"/>
    <s v="05"/>
    <s v="20241203"/>
    <n v="35294"/>
    <s v="패트90"/>
    <s v="170mm*260mm=삼방-지퍼-타공4개(8mm)"/>
    <n v="170"/>
    <n v="260"/>
    <x v="4"/>
    <s v="052"/>
    <s v="삼방-지퍼-패트90-170"/>
    <s v="삼방-지퍼-패트90-170"/>
    <n v="17"/>
    <n v="17"/>
    <n v="599998"/>
  </r>
  <r>
    <s v="20241120-1119P0140"/>
    <s v="20241120"/>
    <x v="1"/>
    <s v="05"/>
    <s v="20241129"/>
    <n v="24000"/>
    <s v="나이론(유백/유무광)105"/>
    <s v="250x310=삼방"/>
    <n v="250"/>
    <n v="310"/>
    <x v="1"/>
    <s v="018"/>
    <s v="삼방-나이론(유백/유무광)105-250"/>
    <s v="삼방-나이론(유백/유무광)105-250"/>
    <n v="7"/>
    <n v="7"/>
    <n v="168000"/>
  </r>
  <r>
    <s v="20241120-13150291"/>
    <s v="20241120"/>
    <x v="1"/>
    <s v="05"/>
    <s v="20241202"/>
    <n v="33333"/>
    <s v="나이론85"/>
    <s v="180x280=삼방"/>
    <n v="180"/>
    <n v="280"/>
    <x v="1"/>
    <s v="018"/>
    <s v="삼방-나이론85-180"/>
    <s v="삼방-나이론85-180"/>
    <n v="5"/>
    <n v="5"/>
    <n v="166665"/>
  </r>
  <r>
    <s v="20241120-13160150"/>
    <s v="20241120"/>
    <x v="0"/>
    <s v="05"/>
    <s v="20241129"/>
    <n v="25000"/>
    <s v="[구이 2-18]나이론(자동포장용)100"/>
    <s v="240x280=삼방"/>
    <n v="240"/>
    <n v="280"/>
    <x v="1"/>
    <s v="018"/>
    <s v="삼방-[구이 2-18]나이론(자동포장용)100-240"/>
    <s v="삼방-[구이 2-18]나이론(자동포장용)100-240"/>
    <n v="6"/>
    <n v="6"/>
    <n v="150000"/>
  </r>
  <r>
    <s v="20241120-1419P0353"/>
    <s v="20241120"/>
    <x v="2"/>
    <s v="05"/>
    <s v="20241202"/>
    <n v="31578"/>
    <s v="패트100=5도-참미유통)참미웰빙(미래푸드시스템)"/>
    <s v="190x260=삼방-바람구멍1mm*2개"/>
    <n v="190"/>
    <n v="260"/>
    <x v="1"/>
    <s v="018"/>
    <s v="삼방-패트100=5도-참미유통)참미웰빙(미래푸드시스템)-190"/>
    <s v="삼방-패트100=5도-참미유통)참미웰빙(미래푸드시스템)-190"/>
    <n v="5"/>
    <n v="5"/>
    <n v="157890"/>
  </r>
  <r>
    <s v="20241121-1000135557"/>
    <s v="20241121"/>
    <x v="2"/>
    <s v="05"/>
    <s v="20241204"/>
    <n v="24000"/>
    <s v="패씨피피80"/>
    <s v="250x290+50=삼방풀발이-핫멜트"/>
    <n v="250"/>
    <n v="290"/>
    <x v="9"/>
    <s v="026"/>
    <s v="2단삼방-지퍼-패씨피피80-250"/>
    <s v="2단삼방-지퍼-패씨피피80-250"/>
    <n v="32"/>
    <n v="32"/>
    <n v="768000"/>
  </r>
  <r>
    <s v="20241121-1000141177"/>
    <s v="20241121"/>
    <x v="0"/>
    <s v="05"/>
    <s v="20241202"/>
    <n v="28571"/>
    <s v="나이론95"/>
    <s v="210x260=삼방(하단오픈)"/>
    <n v="210"/>
    <n v="260"/>
    <x v="1"/>
    <s v="018"/>
    <s v="삼방-나이론95-210"/>
    <s v="삼방-나이론95-210"/>
    <n v="6"/>
    <n v="6"/>
    <n v="171426"/>
  </r>
  <r>
    <s v="20241121-1000148794"/>
    <s v="20241121"/>
    <x v="2"/>
    <s v="05"/>
    <s v="20241204"/>
    <n v="26086"/>
    <s v="나이론70"/>
    <s v="230mm*320mm=삼방"/>
    <n v="230"/>
    <n v="320"/>
    <x v="1"/>
    <s v="018"/>
    <s v="삼방-나이론70-230"/>
    <s v="삼방-나이론70-230"/>
    <n v="6"/>
    <n v="6"/>
    <n v="156516"/>
  </r>
  <r>
    <s v="20241121-1000150850"/>
    <s v="20241121"/>
    <x v="2"/>
    <s v="05"/>
    <s v="20241204"/>
    <n v="46153"/>
    <s v="오씨피피(유무광)80"/>
    <s v="130mm*210mm=삼방-지퍼-고리구멍8mm"/>
    <n v="130"/>
    <n v="210"/>
    <x v="4"/>
    <s v="052"/>
    <s v="삼방-지퍼-오씨피피(유무광)80-130"/>
    <s v="삼방-지퍼-오씨피피(유무광)80-130"/>
    <n v="13"/>
    <n v="13"/>
    <n v="599989"/>
  </r>
  <r>
    <s v="20241121-1000156163"/>
    <s v="20241121"/>
    <x v="1"/>
    <s v="05"/>
    <s v="20241203"/>
    <n v="17142"/>
    <s v="나이론70"/>
    <s v="350x550=삼방"/>
    <n v="350"/>
    <n v="550"/>
    <x v="1"/>
    <s v="018"/>
    <s v="삼방-나이론70-350"/>
    <s v="삼방-나이론70-350"/>
    <n v="9"/>
    <n v="9"/>
    <n v="154278"/>
  </r>
  <r>
    <s v="20241121-1000164439"/>
    <s v="20241121"/>
    <x v="2"/>
    <s v="05"/>
    <s v="20241202"/>
    <n v="17142"/>
    <s v="나이론(유백)70"/>
    <s v="350mm*450mm=삼방"/>
    <n v="350"/>
    <n v="450"/>
    <x v="1"/>
    <s v="018"/>
    <s v="삼방-나이론(유백)70-350"/>
    <s v="삼방-나이론(유백)70-350"/>
    <n v="9"/>
    <n v="9"/>
    <n v="154278"/>
  </r>
  <r>
    <s v="20241121-1000168067"/>
    <s v="20241121"/>
    <x v="1"/>
    <s v="05"/>
    <s v="20241204"/>
    <n v="20618"/>
    <s v="패트92"/>
    <s v="291mm*390mm=삼방"/>
    <n v="291"/>
    <n v="390"/>
    <x v="1"/>
    <s v="018"/>
    <s v="삼방-패트92-291"/>
    <s v="삼방-패트92-291"/>
    <n v="8"/>
    <n v="8"/>
    <n v="164944"/>
  </r>
  <r>
    <s v="20241121-1000168075"/>
    <s v="20241121"/>
    <x v="1"/>
    <s v="05"/>
    <s v="20241204"/>
    <n v="37500"/>
    <s v="패트92"/>
    <s v="320mm*520mm=삼방"/>
    <n v="320"/>
    <n v="520"/>
    <x v="1"/>
    <s v="018"/>
    <s v="삼방-패트92-320"/>
    <s v="삼방-패트92-320"/>
    <n v="8"/>
    <n v="8"/>
    <n v="300000"/>
  </r>
  <r>
    <s v="20241121-1118P0116"/>
    <s v="20241121"/>
    <x v="2"/>
    <s v="05"/>
    <s v="20241203"/>
    <n v="31578"/>
    <s v="패트(유무광)80"/>
    <s v="190x270=삼방-지퍼"/>
    <n v="190"/>
    <n v="270"/>
    <x v="4"/>
    <s v="052"/>
    <s v="삼방-지퍼-패트(유무광)80-190"/>
    <s v="삼방-지퍼-패트(유무광)80-190"/>
    <n v="19"/>
    <n v="19"/>
    <n v="599982"/>
  </r>
  <r>
    <s v="20241121-1119P0054"/>
    <s v="20241121"/>
    <x v="2"/>
    <s v="05"/>
    <s v="20241203"/>
    <n v="27272"/>
    <s v="패트(유무광)100"/>
    <s v="220x280=삼방"/>
    <n v="220"/>
    <n v="280"/>
    <x v="1"/>
    <s v="018"/>
    <s v="삼방-패트(유무광)100-220"/>
    <s v="삼방-패트(유무광)100-220"/>
    <n v="6"/>
    <n v="6"/>
    <n v="163632"/>
  </r>
  <r>
    <s v="20241121-1218P0326"/>
    <s v="20241121"/>
    <x v="1"/>
    <s v="05"/>
    <s v="20241204"/>
    <n v="14285"/>
    <s v="패트60"/>
    <s v="420x500=삼방"/>
    <n v="420"/>
    <n v="500"/>
    <x v="1"/>
    <s v="018"/>
    <s v="삼방-패트60-420"/>
    <s v="삼방-패트60-420"/>
    <n v="11"/>
    <n v="11"/>
    <n v="157135"/>
  </r>
  <r>
    <s v="20241121-13160022"/>
    <s v="20241121"/>
    <x v="2"/>
    <s v="05"/>
    <s v="20241204"/>
    <n v="28571"/>
    <s v="나이론90"/>
    <s v="210x320=삼방"/>
    <n v="210"/>
    <n v="320"/>
    <x v="1"/>
    <s v="018"/>
    <s v="삼방-나이론90-210"/>
    <s v="삼방-나이론90-210"/>
    <n v="6"/>
    <n v="6"/>
    <n v="171426"/>
  </r>
  <r>
    <s v="20241121-904001"/>
    <s v="20241121"/>
    <x v="0"/>
    <s v="05"/>
    <s v="20241206"/>
    <n v="240000"/>
    <s v="패트110"/>
    <s v="100x170+30=삼방스탠드-타원밑지분리형"/>
    <n v="100"/>
    <n v="170"/>
    <x v="3"/>
    <s v="046"/>
    <s v="삼방스탠드-패트110-100"/>
    <s v="삼방스탠드-패트110-100"/>
    <n v="10"/>
    <n v="10"/>
    <n v="2400000"/>
  </r>
  <r>
    <s v="20241121-904004"/>
    <s v="20241121"/>
    <x v="2"/>
    <s v="05"/>
    <s v="20241204"/>
    <n v="66666"/>
    <s v="패트120"/>
    <s v="180x260+50=삼방스탠드"/>
    <n v="180"/>
    <n v="260"/>
    <x v="3"/>
    <s v="046"/>
    <s v="삼방스탠드-패트120-180"/>
    <s v="삼방스탠드-패트120-180"/>
    <n v="18"/>
    <n v="18"/>
    <n v="1199988"/>
  </r>
  <r>
    <s v="20241121-914003"/>
    <s v="20241121"/>
    <x v="0"/>
    <s v="05"/>
    <s v="20241204"/>
    <n v="4800"/>
    <s v="전투지120=무지"/>
    <s v="=250x350=삼방-지퍼-2단걸이"/>
    <n v="250"/>
    <n v="350"/>
    <x v="4"/>
    <s v="052"/>
    <s v="삼방-지퍼-전투지120=무지-250"/>
    <s v="삼방-지퍼-전투지120=무지-250"/>
    <n v="25"/>
    <n v="25"/>
    <n v="120000"/>
  </r>
  <r>
    <s v="20241121-914501"/>
    <s v="20241121"/>
    <x v="2"/>
    <s v="05"/>
    <s v="20241204"/>
    <n v="184615"/>
    <s v="전투지스120=무지"/>
    <s v="130x200+40=삼방스탠드-타원밑지분리형-지퍼-2단"/>
    <n v="130"/>
    <n v="200"/>
    <x v="2"/>
    <s v="048"/>
    <s v="삼방스탠드-지퍼-전투지스120=무지-130"/>
    <s v="삼방스탠드-지퍼-전투지스120=무지-130"/>
    <n v="18.2"/>
    <n v="18.2"/>
    <n v="3359993"/>
  </r>
  <r>
    <s v="20241121-930001"/>
    <s v="20241121"/>
    <x v="2"/>
    <s v="05"/>
    <s v="20241206"/>
    <n v="92307"/>
    <s v="크지스130"/>
    <s v="130x200+35=삼방지퍼스텐드"/>
    <n v="130"/>
    <n v="200"/>
    <x v="2"/>
    <s v="048"/>
    <s v="삼방스탠드-지퍼-크지스130-130"/>
    <s v="삼방스탠드-지퍼-크지스130-130"/>
    <n v="18.2"/>
    <n v="18.2"/>
    <n v="1679987.4"/>
  </r>
  <r>
    <s v="20241121-930002"/>
    <s v="20241121"/>
    <x v="2"/>
    <s v="05"/>
    <s v="20241206"/>
    <n v="80000"/>
    <s v="크지스130"/>
    <s v="150x220+40=삼방스탠드-타원밑지분리형-지퍼"/>
    <n v="150"/>
    <n v="220"/>
    <x v="2"/>
    <s v="048"/>
    <s v="삼방스탠드-지퍼-크지스130-150"/>
    <s v="삼방스탠드-지퍼-크지스130-150"/>
    <n v="21"/>
    <n v="21"/>
    <n v="1680000"/>
  </r>
  <r>
    <s v="20241122-1000161630"/>
    <s v="20241122"/>
    <x v="2"/>
    <s v="05"/>
    <s v="20241206"/>
    <n v="33333"/>
    <s v="패나이론140"/>
    <s v="180mm*190mm+50mm=삼방스탠드"/>
    <n v="180"/>
    <n v="190"/>
    <x v="3"/>
    <s v="046"/>
    <s v="삼방스탠드-패나이론140-180"/>
    <s v="삼방스탠드-패나이론140-180"/>
    <n v="18"/>
    <n v="18"/>
    <n v="599994"/>
  </r>
  <r>
    <s v="20241122-1000165483"/>
    <s v="20241122"/>
    <x v="2"/>
    <s v="05"/>
    <s v="20241205"/>
    <n v="109090"/>
    <s v="패증착75"/>
    <s v="110mm*270mm=삼방-상단고리구멍1개(8mm)"/>
    <n v="110"/>
    <n v="270"/>
    <x v="1"/>
    <s v="018"/>
    <s v="삼방-패증착75-110"/>
    <s v="삼방-패증착75-110"/>
    <n v="5"/>
    <n v="5"/>
    <n v="545450"/>
  </r>
  <r>
    <s v="20241122-1117P0060"/>
    <s v="20241122"/>
    <x v="2"/>
    <s v="05"/>
    <s v="20241205"/>
    <n v="104347"/>
    <s v="은박(유,무광)100"/>
    <s v="115x160=삼방-2폭-모자타공"/>
    <n v="115"/>
    <n v="160"/>
    <x v="7"/>
    <s v="019"/>
    <s v="삼방-2폭-은박(유,무광)100-115"/>
    <s v="삼방-2폭-은박(유,무광)100-115"/>
    <n v="5"/>
    <n v="4"/>
    <n v="417388"/>
  </r>
  <r>
    <s v="20241122-1119P0157"/>
    <s v="20241122"/>
    <x v="2"/>
    <s v="05"/>
    <s v="20241203"/>
    <n v="12121"/>
    <s v="패트70"/>
    <s v="165x310=삼방-지퍼-모자타공(28*7mm)"/>
    <n v="165"/>
    <n v="310"/>
    <x v="4"/>
    <s v="052"/>
    <s v="삼방-지퍼-패트70-165"/>
    <s v="삼방-지퍼-패트70-165"/>
    <n v="16"/>
    <n v="16"/>
    <n v="193936"/>
  </r>
  <r>
    <s v="20241122-1216P0006"/>
    <s v="20241122"/>
    <x v="2"/>
    <s v="05"/>
    <s v="20241204"/>
    <n v="26086"/>
    <s v="나이론70"/>
    <s v="230x320=삼방"/>
    <n v="230"/>
    <n v="320"/>
    <x v="1"/>
    <s v="018"/>
    <s v="삼방-나이론70-230"/>
    <s v="삼방-나이론70-230"/>
    <n v="6"/>
    <n v="6"/>
    <n v="156516"/>
  </r>
  <r>
    <s v="20241125-1000138905"/>
    <s v="20241122"/>
    <x v="1"/>
    <s v="05"/>
    <s v="20241205"/>
    <n v="20000"/>
    <s v="패트(유무광)100"/>
    <s v="300mm*410mm=삼방-바람구멍1개(2mm)"/>
    <n v="300"/>
    <n v="410"/>
    <x v="1"/>
    <s v="018"/>
    <s v="삼방-패트(유무광)100-300"/>
    <s v="삼방-패트(유무광)100-300"/>
    <n v="8"/>
    <n v="8"/>
    <n v="160000"/>
  </r>
  <r>
    <s v="20241125-1000139790"/>
    <s v="20241122"/>
    <x v="2"/>
    <s v="05"/>
    <s v="20241205"/>
    <n v="27272"/>
    <s v="패트(유무광)100"/>
    <s v="220mm*300mm=삼방"/>
    <n v="220"/>
    <n v="300"/>
    <x v="1"/>
    <s v="018"/>
    <s v="삼방-패트(유무광)100-220"/>
    <s v="삼방-패트(유무광)100-220"/>
    <n v="6"/>
    <n v="6"/>
    <n v="163632"/>
  </r>
  <r>
    <s v="20241125-1000154950"/>
    <s v="20241125"/>
    <x v="0"/>
    <s v="05"/>
    <s v="20241206"/>
    <n v="75000"/>
    <s v="나이론70"/>
    <s v="160x250=삼방"/>
    <n v="160"/>
    <n v="250"/>
    <x v="1"/>
    <s v="018"/>
    <s v="삼방-나이론70-160"/>
    <s v="삼방-나이론70-160"/>
    <n v="5"/>
    <n v="5"/>
    <n v="375000"/>
  </r>
  <r>
    <s v="20241125-1000167833"/>
    <s v="20241125"/>
    <x v="1"/>
    <s v="05"/>
    <s v="20241206"/>
    <n v="17647"/>
    <s v="나이론105"/>
    <s v="340mm*430mm=삼방"/>
    <n v="340"/>
    <n v="430"/>
    <x v="1"/>
    <s v="018"/>
    <s v="삼방-나이론105-340"/>
    <s v="삼방-나이론105-340"/>
    <n v="9"/>
    <n v="9"/>
    <n v="158823"/>
  </r>
  <r>
    <s v="20241125-1000169755"/>
    <s v="20241122"/>
    <x v="0"/>
    <s v="05"/>
    <s v="20241205"/>
    <n v="15789"/>
    <s v="패트120"/>
    <s v="190x265=삼방"/>
    <n v="190"/>
    <n v="265"/>
    <x v="1"/>
    <s v="018"/>
    <s v="삼방-패트120-190"/>
    <s v="삼방-패트120-190"/>
    <n v="5"/>
    <n v="5"/>
    <n v="78945"/>
  </r>
  <r>
    <s v="20241125-1000169762"/>
    <s v="20241122"/>
    <x v="0"/>
    <s v="05"/>
    <s v="20241205"/>
    <n v="15789"/>
    <s v="패트120"/>
    <s v="190x265=삼방"/>
    <n v="190"/>
    <n v="265"/>
    <x v="1"/>
    <s v="018"/>
    <s v="삼방-패트120-190"/>
    <s v="삼방-패트120-190"/>
    <n v="5"/>
    <n v="5"/>
    <n v="78945"/>
  </r>
  <r>
    <s v="20241125-1000169769"/>
    <s v="20241125"/>
    <x v="1"/>
    <s v="05"/>
    <s v="20241206"/>
    <n v="20000"/>
    <s v="나이론105"/>
    <s v="300mm*290mm=삼방"/>
    <n v="300"/>
    <n v="290"/>
    <x v="1"/>
    <s v="018"/>
    <s v="삼방-나이론105-300"/>
    <s v="삼방-나이론105-300"/>
    <n v="8"/>
    <n v="8"/>
    <n v="160000"/>
  </r>
  <r>
    <s v="20241125-1217P0081"/>
    <s v="20241125"/>
    <x v="0"/>
    <s v="05"/>
    <s v="20241206"/>
    <n v="7500"/>
    <s v="나이론70=1도-새물(27*40)"/>
    <s v="270x400=삼방꼬리"/>
    <n v="270"/>
    <n v="400"/>
    <x v="5"/>
    <s v="022"/>
    <s v="삼방꼬리-나이론70=1도-새물(27*40)-270"/>
    <s v="삼방꼬리-나이론70=1도-새물(27*40)-400"/>
    <n v="12"/>
    <n v="12"/>
    <n v="90000"/>
  </r>
  <r>
    <s v="20241125-1220P0169"/>
    <s v="20241125"/>
    <x v="0"/>
    <s v="05"/>
    <s v="20241206"/>
    <n v="12857"/>
    <s v="나이론70"/>
    <s v="270x700=삼방꼬리"/>
    <n v="270"/>
    <n v="700"/>
    <x v="5"/>
    <s v="022"/>
    <s v="삼방꼬리-나이론70-270"/>
    <s v="삼방꼬리-나이론70-700"/>
    <n v="16"/>
    <n v="16"/>
    <n v="205712"/>
  </r>
  <r>
    <s v="20241125-1420P0163"/>
    <s v="20241125"/>
    <x v="2"/>
    <s v="05"/>
    <s v="20241206"/>
    <n v="26086"/>
    <s v="오씨피피(유무광)70"/>
    <s v="230x310=삼방-지퍼(하단오픈)"/>
    <n v="230"/>
    <n v="310"/>
    <x v="4"/>
    <s v="052"/>
    <s v="삼방-지퍼-오씨피피(유무광)70-230"/>
    <s v="삼방-지퍼-오씨피피(유무광)70-230"/>
    <n v="23"/>
    <n v="23"/>
    <n v="599978"/>
  </r>
  <r>
    <s v="20241126-1000149879"/>
    <s v="20241126"/>
    <x v="0"/>
    <s v="05"/>
    <s v="20241210"/>
    <n v="15000"/>
    <s v="나이론70"/>
    <s v="400mm*500mm=삼방"/>
    <n v="400"/>
    <n v="500"/>
    <x v="1"/>
    <s v="018"/>
    <s v="삼방-나이론70-400"/>
    <s v="삼방-나이론70-400"/>
    <n v="10"/>
    <n v="10"/>
    <n v="150000"/>
  </r>
  <r>
    <s v="20241126-1000150889"/>
    <s v="20241126"/>
    <x v="2"/>
    <s v="05"/>
    <s v="20241210"/>
    <n v="30000"/>
    <s v="나이론70"/>
    <s v="200mm*300mm=삼방"/>
    <n v="200"/>
    <n v="300"/>
    <x v="1"/>
    <s v="018"/>
    <s v="삼방-나이론70-200"/>
    <s v="삼방-나이론70-200"/>
    <n v="5"/>
    <n v="5"/>
    <n v="150000"/>
  </r>
  <r>
    <s v="20241126-1000162500"/>
    <s v="20241126"/>
    <x v="0"/>
    <s v="05"/>
    <s v="20241216"/>
    <n v="17142"/>
    <s v="[염지 4-4]패나이론(고접착)140&lt;410&gt;"/>
    <s v="350mm*410mm=삼방"/>
    <n v="350"/>
    <n v="410"/>
    <x v="1"/>
    <s v="018"/>
    <s v="삼방-[염지 4-4]패나이론(고접착)140&lt;410&gt;-350"/>
    <s v="삼방-[염지 4-4]패나이론(고접착)140&lt;410&gt;-350"/>
    <n v="9"/>
    <n v="9"/>
    <n v="154278"/>
  </r>
  <r>
    <s v="20241126-1000164958"/>
    <s v="20241125"/>
    <x v="1"/>
    <s v="05"/>
    <s v="20241209"/>
    <n v="40000"/>
    <s v="나이론105"/>
    <s v="300mm*420mm=삼방"/>
    <n v="300"/>
    <n v="420"/>
    <x v="1"/>
    <s v="018"/>
    <s v="삼방-나이론105-300"/>
    <s v="삼방-나이론105-300"/>
    <n v="8"/>
    <n v="8"/>
    <n v="320000"/>
  </r>
  <r>
    <s v="20241126-1000169777"/>
    <s v="20241125"/>
    <x v="2"/>
    <s v="05"/>
    <s v="20241209"/>
    <n v="10100"/>
    <s v="패증착(무광)100"/>
    <s v="150mm*170mm+35mm=삼방스탠드-지퍼"/>
    <n v="150"/>
    <n v="170"/>
    <x v="2"/>
    <s v="048"/>
    <s v="삼방스탠드-지퍼-패증착(무광)100-150"/>
    <s v="삼방스탠드-지퍼-패증착(무광)100-150"/>
    <n v="21"/>
    <n v="21"/>
    <n v="212100"/>
  </r>
  <r>
    <s v="20241126-1000169799"/>
    <s v="20241126"/>
    <x v="2"/>
    <s v="05"/>
    <s v="20241209"/>
    <n v="20000"/>
    <s v="나이론130"/>
    <s v="300mm*430mm=삼방"/>
    <n v="300"/>
    <n v="430"/>
    <x v="1"/>
    <s v="018"/>
    <s v="삼방-나이론130-300"/>
    <s v="삼방-나이론130-300"/>
    <n v="8"/>
    <n v="8"/>
    <n v="160000"/>
  </r>
  <r>
    <s v="20241126-11150166"/>
    <s v="20241126"/>
    <x v="1"/>
    <s v="05"/>
    <s v="20241206"/>
    <n v="6666"/>
    <s v="나이론80"/>
    <s v="550x900=삼방꼬리"/>
    <n v="550"/>
    <n v="900"/>
    <x v="5"/>
    <s v="022"/>
    <s v="삼방꼬리-나이론80-550"/>
    <s v="삼방꼬리-나이론80-900"/>
    <n v="18"/>
    <n v="18"/>
    <n v="119988"/>
  </r>
  <r>
    <s v="20241126-11150297"/>
    <s v="20241125"/>
    <x v="1"/>
    <s v="05"/>
    <s v="20241204"/>
    <n v="48000"/>
    <s v="나이론(유백/유무광)115"/>
    <s v="250x280=삼방-지퍼(하단오픈)"/>
    <n v="250"/>
    <n v="280"/>
    <x v="4"/>
    <s v="052"/>
    <s v="삼방-지퍼-나이론(유백/유무광)115-250"/>
    <s v="삼방-지퍼-나이론(유백/유무광)115-250"/>
    <n v="25"/>
    <n v="25"/>
    <n v="1200000"/>
  </r>
  <r>
    <s v="20241126-1118P0206"/>
    <s v="20241126"/>
    <x v="2"/>
    <s v="05"/>
    <s v="20241209"/>
    <n v="40000"/>
    <s v="패증착(무광)120"/>
    <s v="150x220+40=삼방스탠드-타원밑지분리형-지퍼"/>
    <n v="150"/>
    <n v="220"/>
    <x v="2"/>
    <s v="048"/>
    <s v="삼방스탠드-지퍼-패증착(무광)120-150"/>
    <s v="삼방스탠드-지퍼-패증착(무광)120-150"/>
    <n v="21"/>
    <n v="21"/>
    <n v="840000"/>
  </r>
  <r>
    <s v="20241126-131019"/>
    <s v="20241126"/>
    <x v="0"/>
    <s v="05"/>
    <s v="20241209"/>
    <n v="9230"/>
    <s v="나이론60"/>
    <s v="400*650=삼방꼬리"/>
    <n v="400"/>
    <n v="650"/>
    <x v="5"/>
    <s v="022"/>
    <s v="삼방꼬리-나이론60-400"/>
    <s v="삼방꼬리-나이론60-650"/>
    <n v="14"/>
    <n v="14"/>
    <n v="129220"/>
  </r>
  <r>
    <s v="20241126-131020"/>
    <s v="20241126"/>
    <x v="0"/>
    <s v="05"/>
    <s v="20241209"/>
    <n v="18461"/>
    <s v="나이론60"/>
    <s v="360mm*650mm=삼방꼬리"/>
    <n v="360"/>
    <n v="650"/>
    <x v="5"/>
    <s v="022"/>
    <s v="삼방꼬리-나이론60-360"/>
    <s v="삼방꼬리-나이론60-650"/>
    <n v="14"/>
    <n v="14"/>
    <n v="258454"/>
  </r>
  <r>
    <s v="20241126-131021"/>
    <s v="20241126"/>
    <x v="2"/>
    <s v="05"/>
    <s v="20241210"/>
    <n v="51428"/>
    <s v="나이론60"/>
    <s v="350x450=삼방"/>
    <n v="350"/>
    <n v="450"/>
    <x v="1"/>
    <s v="018"/>
    <s v="삼방-나이론60-350"/>
    <s v="삼방-나이론60-350"/>
    <n v="9"/>
    <n v="9"/>
    <n v="462852"/>
  </r>
  <r>
    <s v="20241126-131022"/>
    <s v="20241126"/>
    <x v="2"/>
    <s v="05"/>
    <s v="20241209"/>
    <n v="48000"/>
    <s v="나이론60"/>
    <s v="250x450=삼방"/>
    <n v="250"/>
    <n v="450"/>
    <x v="1"/>
    <s v="018"/>
    <s v="삼방-나이론60-250"/>
    <s v="삼방-나이론60-250"/>
    <n v="7"/>
    <n v="7"/>
    <n v="336000"/>
  </r>
  <r>
    <s v="20241126-1318N0028"/>
    <s v="20241126"/>
    <x v="2"/>
    <s v="05"/>
    <s v="20241206"/>
    <n v="18750"/>
    <s v="나이론70"/>
    <s v="320x320=삼방"/>
    <n v="320"/>
    <n v="320"/>
    <x v="1"/>
    <s v="018"/>
    <s v="삼방-나이론70-320"/>
    <s v="삼방-나이론70-320"/>
    <n v="8"/>
    <n v="8"/>
    <n v="150000"/>
  </r>
  <r>
    <s v="20241126-1619N0040"/>
    <s v="20241126"/>
    <x v="0"/>
    <s v="05"/>
    <s v="20241209"/>
    <n v="18461"/>
    <s v="나이론60"/>
    <s v="350x650=삼방꼬리"/>
    <n v="350"/>
    <n v="650"/>
    <x v="5"/>
    <s v="022"/>
    <s v="삼방꼬리-나이론60-350"/>
    <s v="삼방꼬리-나이론60-650"/>
    <n v="14"/>
    <n v="14"/>
    <n v="258454"/>
  </r>
  <r>
    <s v="20241127-1000139380"/>
    <s v="20241127"/>
    <x v="2"/>
    <s v="05"/>
    <s v="20241211"/>
    <n v="85714"/>
    <s v="패트140"/>
    <s v="140mm*220mm+40mm=삼방스탠드"/>
    <n v="140"/>
    <n v="220"/>
    <x v="3"/>
    <s v="046"/>
    <s v="삼방스탠드-패트140-140"/>
    <s v="삼방스탠드-패트140-140"/>
    <n v="14"/>
    <n v="14"/>
    <n v="1199996"/>
  </r>
  <r>
    <s v="20241127-1000140639"/>
    <s v="20241126"/>
    <x v="2"/>
    <s v="05"/>
    <s v="20241210"/>
    <n v="40000"/>
    <s v="패트120"/>
    <s v="150mm*220mm+40mm=삼방스탠드-지퍼"/>
    <n v="150"/>
    <n v="220"/>
    <x v="2"/>
    <s v="048"/>
    <s v="삼방스탠드-지퍼-패트120-150"/>
    <s v="삼방스탠드-지퍼-패트120-150"/>
    <n v="21"/>
    <n v="21"/>
    <n v="840000"/>
  </r>
  <r>
    <s v="20241127-1000163157"/>
    <s v="20241126"/>
    <x v="2"/>
    <s v="05"/>
    <s v="20241211"/>
    <n v="34285"/>
    <s v="나이론(유무광/유백/메탈로젠)130"/>
    <s v="175mm*260mm+45mm=삼방스탠드"/>
    <n v="175"/>
    <n v="260"/>
    <x v="3"/>
    <s v="046"/>
    <s v="삼방스탠드-나이론(유무광/유백/메탈로젠)130-175"/>
    <s v="삼방스탠드-나이론(유무광/유백/메탈로젠)130-175"/>
    <n v="17"/>
    <n v="17"/>
    <n v="582845"/>
  </r>
  <r>
    <s v="20241127-1000169841"/>
    <s v="20241127"/>
    <x v="2"/>
    <s v="05"/>
    <s v="20241210"/>
    <n v="20000"/>
    <s v="나이론(대방)80"/>
    <s v="300mm*400mm=삼방"/>
    <n v="300"/>
    <n v="400"/>
    <x v="1"/>
    <s v="018"/>
    <s v="삼방-나이론(대방)80-300"/>
    <s v="삼방-나이론(대방)80-300"/>
    <n v="8"/>
    <n v="8"/>
    <n v="160000"/>
  </r>
  <r>
    <s v="20241127-1000169843"/>
    <s v="20241127"/>
    <x v="2"/>
    <s v="05"/>
    <s v="20241210"/>
    <n v="20000"/>
    <s v="나이론(대방)80"/>
    <s v="300mm*400mm=삼방"/>
    <n v="300"/>
    <n v="400"/>
    <x v="1"/>
    <s v="018"/>
    <s v="삼방-나이론(대방)80-300"/>
    <s v="삼방-나이론(대방)80-300"/>
    <n v="8"/>
    <n v="8"/>
    <n v="160000"/>
  </r>
  <r>
    <s v="20241127-1000169845"/>
    <s v="20241127"/>
    <x v="2"/>
    <s v="05"/>
    <s v="20241210"/>
    <n v="17142"/>
    <s v="나이론(대방)80"/>
    <s v="350mm*400mm=삼방"/>
    <n v="350"/>
    <n v="400"/>
    <x v="1"/>
    <s v="018"/>
    <s v="삼방-나이론(대방)80-350"/>
    <s v="삼방-나이론(대방)80-350"/>
    <n v="9"/>
    <n v="9"/>
    <n v="154278"/>
  </r>
  <r>
    <s v="20241127-1000169847"/>
    <s v="20241127"/>
    <x v="2"/>
    <s v="05"/>
    <s v="20241210"/>
    <n v="17142"/>
    <s v="나이론(대방)80"/>
    <s v="350mm*400mm=삼방"/>
    <n v="350"/>
    <n v="400"/>
    <x v="1"/>
    <s v="018"/>
    <s v="삼방-나이론(대방)80-350"/>
    <s v="삼방-나이론(대방)80-350"/>
    <n v="9"/>
    <n v="9"/>
    <n v="154278"/>
  </r>
  <r>
    <s v="20241127-11150225"/>
    <s v="20241126"/>
    <x v="1"/>
    <s v="05"/>
    <s v="20241206"/>
    <n v="18750"/>
    <s v="패트100"/>
    <s v="320x480=삼방-사각라운드"/>
    <n v="320"/>
    <n v="480"/>
    <x v="1"/>
    <s v="018"/>
    <s v="삼방-패트100-320"/>
    <s v="삼방-패트100-320"/>
    <n v="8"/>
    <n v="8"/>
    <n v="150000"/>
  </r>
  <r>
    <s v="20241128-1000137793"/>
    <s v="20241128"/>
    <x v="2"/>
    <s v="05"/>
    <s v="20241210"/>
    <n v="23076"/>
    <s v="나이론100 (400g)-사이즈변경"/>
    <s v="260mm*415mm=삼방"/>
    <n v="260"/>
    <n v="415"/>
    <x v="1"/>
    <s v="018"/>
    <s v="삼방-나이론100 (400g)-사이즈변경-260"/>
    <s v="삼방-나이론100 (400g)-사이즈변경-260"/>
    <n v="7"/>
    <n v="7"/>
    <n v="161532"/>
  </r>
  <r>
    <s v="20241128-1000138205"/>
    <s v="20241128"/>
    <x v="2"/>
    <s v="05"/>
    <s v="20241210"/>
    <n v="27272"/>
    <s v="나이론100 (200g)-사이즈변경"/>
    <s v="220mm*400mm=삼방"/>
    <n v="220"/>
    <n v="400"/>
    <x v="1"/>
    <s v="018"/>
    <s v="삼방-나이론100 (200g)-사이즈변경-220"/>
    <s v="삼방-나이론100 (200g)-사이즈변경-220"/>
    <n v="6"/>
    <n v="6"/>
    <n v="163632"/>
  </r>
  <r>
    <s v="20241128-1000148892"/>
    <s v="20241128"/>
    <x v="1"/>
    <s v="05"/>
    <s v="20241211"/>
    <n v="28571"/>
    <s v="패트(유무광)90"/>
    <s v="210x300=삼방-지퍼-지퍼오픈"/>
    <n v="210"/>
    <n v="300"/>
    <x v="4"/>
    <s v="052"/>
    <s v="삼방-지퍼-패트(유무광)90-210"/>
    <s v="삼방-지퍼-패트(유무광)90-210"/>
    <n v="21"/>
    <n v="21"/>
    <n v="599991"/>
  </r>
  <r>
    <s v="20241128-1000162732"/>
    <s v="20241128"/>
    <x v="2"/>
    <s v="05"/>
    <s v="20241210"/>
    <n v="31578"/>
    <s v="나이론60"/>
    <s v="190mm*450mm=삼방"/>
    <n v="190"/>
    <n v="450"/>
    <x v="1"/>
    <s v="018"/>
    <s v="삼방-나이론60-190"/>
    <s v="삼방-나이론60-190"/>
    <n v="5"/>
    <n v="5"/>
    <n v="157890"/>
  </r>
  <r>
    <s v="20241128-1000165171"/>
    <s v="20241128"/>
    <x v="2"/>
    <s v="05"/>
    <s v="20241211"/>
    <n v="23076"/>
    <s v="나이론(투명)105"/>
    <s v="260mm*320mm=삼방-지퍼"/>
    <n v="260"/>
    <n v="320"/>
    <x v="4"/>
    <s v="052"/>
    <s v="삼방-지퍼-나이론(투명)105-260"/>
    <s v="삼방-지퍼-나이론(투명)105-260"/>
    <n v="26"/>
    <n v="26"/>
    <n v="599976"/>
  </r>
  <r>
    <s v="20241128-1000166996"/>
    <s v="20241128"/>
    <x v="2"/>
    <s v="05"/>
    <s v="20241211"/>
    <n v="21428"/>
    <s v="패트92"/>
    <s v="280mm*330mm=삼방"/>
    <n v="280"/>
    <n v="330"/>
    <x v="1"/>
    <s v="018"/>
    <s v="삼방-패트92-280"/>
    <s v="삼방-패트92-280"/>
    <n v="7"/>
    <n v="7"/>
    <n v="149996"/>
  </r>
  <r>
    <s v="20241128-1000167005"/>
    <s v="20241128"/>
    <x v="2"/>
    <s v="05"/>
    <s v="20241211"/>
    <n v="21428"/>
    <s v="패트92"/>
    <s v="280mm*330mm=삼방-지퍼"/>
    <n v="280"/>
    <n v="330"/>
    <x v="4"/>
    <s v="052"/>
    <s v="삼방-지퍼-패트92-280"/>
    <s v="삼방-지퍼-패트92-280"/>
    <n v="28"/>
    <n v="28"/>
    <n v="599984"/>
  </r>
  <r>
    <s v="20241128-1000167023"/>
    <s v="20241128"/>
    <x v="2"/>
    <s v="05"/>
    <s v="20241211"/>
    <n v="20000"/>
    <s v="패트92"/>
    <s v="300mm*380mm=삼방-지퍼"/>
    <n v="300"/>
    <n v="380"/>
    <x v="4"/>
    <s v="052"/>
    <s v="삼방-지퍼-패트92-300"/>
    <s v="삼방-지퍼-패트92-300"/>
    <n v="30"/>
    <n v="30"/>
    <n v="600000"/>
  </r>
  <r>
    <s v="20241128-1000167850"/>
    <s v="20241128"/>
    <x v="2"/>
    <s v="05"/>
    <s v="20241211"/>
    <n v="20689"/>
    <s v="패씨피피(투명)80"/>
    <s v="290mm*390mm=삼방-지퍼"/>
    <n v="290"/>
    <n v="390"/>
    <x v="4"/>
    <s v="052"/>
    <s v="삼방-지퍼-패씨피피(투명)80-290"/>
    <s v="삼방-지퍼-패씨피피(투명)80-290"/>
    <n v="29"/>
    <n v="29"/>
    <n v="599981"/>
  </r>
  <r>
    <s v="20241128-1000169860"/>
    <s v="20241128"/>
    <x v="0"/>
    <s v="05"/>
    <s v="20241211"/>
    <n v="22222"/>
    <s v="오피피(무광)80"/>
    <s v="180mm*250mm=삼방-지퍼-상단고리구멍1개(5mm)-바람구멍1개(2mm)"/>
    <n v="180"/>
    <n v="250"/>
    <x v="4"/>
    <s v="052"/>
    <s v="삼방-지퍼-오피피(무광)80-180"/>
    <s v="삼방-지퍼-오피피(무광)80-180"/>
    <n v="18"/>
    <n v="18"/>
    <n v="399996"/>
  </r>
  <r>
    <s v="20241128-1219P0268"/>
    <s v="20241128"/>
    <x v="2"/>
    <s v="05"/>
    <s v="20241210"/>
    <n v="53333"/>
    <s v="오피피(무광)80"/>
    <s v="150x320=삼방-지퍼-고리구멍-바람구멍4mm*2개"/>
    <n v="150"/>
    <n v="320"/>
    <x v="4"/>
    <s v="052"/>
    <s v="삼방-지퍼-오피피(무광)80-150"/>
    <s v="삼방-지퍼-오피피(무광)80-150"/>
    <n v="15"/>
    <n v="15"/>
    <n v="799995"/>
  </r>
  <r>
    <s v="20241129-1000150744"/>
    <s v="20241129"/>
    <x v="0"/>
    <s v="05"/>
    <s v="20241212"/>
    <n v="9230"/>
    <s v="나이론60"/>
    <s v="400x650=삼방꼬리"/>
    <n v="400"/>
    <n v="650"/>
    <x v="5"/>
    <s v="022"/>
    <s v="삼방꼬리-나이론60-400"/>
    <s v="삼방꼬리-나이론60-650"/>
    <n v="14"/>
    <n v="14"/>
    <n v="129220"/>
  </r>
  <r>
    <s v="20241129-1000154732"/>
    <s v="20241129"/>
    <x v="2"/>
    <s v="05"/>
    <s v="20241212"/>
    <n v="21818"/>
    <s v="나이론(옥텐)100"/>
    <s v="400x550=삼방꼬리"/>
    <n v="400"/>
    <n v="550"/>
    <x v="5"/>
    <s v="022"/>
    <s v="삼방꼬리-나이론(옥텐)100-400"/>
    <s v="삼방꼬리-나이론(옥텐)100-550"/>
    <n v="12"/>
    <n v="12"/>
    <n v="261816"/>
  </r>
  <r>
    <s v="20241129-1000155583"/>
    <s v="20241129"/>
    <x v="1"/>
    <s v="05"/>
    <s v="20241216"/>
    <n v="326530"/>
    <s v="나이론80"/>
    <s v="147mm*175mm=삼방-2폭"/>
    <n v="147"/>
    <n v="175"/>
    <x v="7"/>
    <s v="019"/>
    <s v="삼방-2폭-나이론80-147"/>
    <s v="삼방-2폭-나이론80-147"/>
    <n v="5"/>
    <n v="4"/>
    <n v="1306120"/>
  </r>
  <r>
    <s v="20241129-1000156124"/>
    <s v="20241129"/>
    <x v="2"/>
    <s v="05"/>
    <s v="20241213"/>
    <n v="54545"/>
    <s v="패트120"/>
    <s v="110x170+35=삼방스탠드-타원밑지분리형-지퍼"/>
    <n v="110"/>
    <n v="170"/>
    <x v="2"/>
    <s v="048"/>
    <s v="삼방스탠드-지퍼-패트120-110"/>
    <s v="삼방스탠드-지퍼-패트120-110"/>
    <n v="15.4"/>
    <n v="15.4"/>
    <n v="839993"/>
  </r>
  <r>
    <s v="20241129-1000160038"/>
    <s v="20241129"/>
    <x v="2"/>
    <s v="05"/>
    <s v="20241212"/>
    <n v="24000"/>
    <s v="나이론70"/>
    <s v="250mm*350mm=삼방"/>
    <n v="250"/>
    <n v="350"/>
    <x v="1"/>
    <s v="018"/>
    <s v="삼방-나이론70-250"/>
    <s v="삼방-나이론70-250"/>
    <n v="7"/>
    <n v="7"/>
    <n v="168000"/>
  </r>
  <r>
    <s v="20241129-1000165766"/>
    <s v="20241129"/>
    <x v="1"/>
    <s v="05"/>
    <s v="20241212"/>
    <n v="80000"/>
    <s v="오씨피피(무광)60"/>
    <s v="100x205=삼방"/>
    <n v="100"/>
    <n v="205"/>
    <x v="1"/>
    <s v="018"/>
    <s v="삼방-오씨피피(무광)60-100"/>
    <s v="삼방-오씨피피(무광)60-100"/>
    <n v="5"/>
    <n v="5"/>
    <n v="400000"/>
  </r>
  <r>
    <s v="20241129-1000168406"/>
    <s v="20241128"/>
    <x v="0"/>
    <s v="05"/>
    <s v="20241211"/>
    <n v="40000"/>
    <s v="나이론100"/>
    <s v="150mm*310mm=삼방"/>
    <n v="150"/>
    <n v="310"/>
    <x v="1"/>
    <s v="018"/>
    <s v="삼방-나이론100-150"/>
    <s v="삼방-나이론100-150"/>
    <n v="5"/>
    <n v="5"/>
    <n v="200000"/>
  </r>
  <r>
    <s v="20241129-1000168411"/>
    <s v="20241128"/>
    <x v="0"/>
    <s v="05"/>
    <s v="20241211"/>
    <n v="92307"/>
    <s v="나이론100"/>
    <s v="130mm*280mm=삼방"/>
    <n v="130"/>
    <n v="280"/>
    <x v="1"/>
    <s v="018"/>
    <s v="삼방-나이론100-130"/>
    <s v="삼방-나이론100-130"/>
    <n v="5"/>
    <n v="5"/>
    <n v="461535"/>
  </r>
  <r>
    <s v="20241129-1000169782"/>
    <s v="20241129"/>
    <x v="2"/>
    <s v="05"/>
    <s v="20241212"/>
    <n v="24000"/>
    <s v="나이론70"/>
    <s v="250mm*320mm=삼방"/>
    <n v="250"/>
    <n v="320"/>
    <x v="1"/>
    <s v="018"/>
    <s v="삼방-나이론70-250"/>
    <s v="삼방-나이론70-250"/>
    <n v="7"/>
    <n v="7"/>
    <n v="168000"/>
  </r>
  <r>
    <s v="20241129-1000169868"/>
    <s v="20241128"/>
    <x v="2"/>
    <s v="05"/>
    <s v="20241210"/>
    <n v="11538"/>
    <s v="나이론100"/>
    <s v="260mm*470mm=삼방"/>
    <n v="260"/>
    <n v="470"/>
    <x v="1"/>
    <s v="018"/>
    <s v="삼방-나이론100-260"/>
    <s v="삼방-나이론100-260"/>
    <n v="7"/>
    <n v="7"/>
    <n v="80766"/>
  </r>
  <r>
    <s v="20241129-1000169881"/>
    <s v="20241129"/>
    <x v="2"/>
    <s v="05"/>
    <s v="20241211"/>
    <n v="21428"/>
    <s v="나이론70"/>
    <s v="280mm*350mm=삼방"/>
    <n v="280"/>
    <n v="350"/>
    <x v="1"/>
    <s v="018"/>
    <s v="삼방-나이론70-280"/>
    <s v="삼방-나이론70-280"/>
    <n v="7"/>
    <n v="7"/>
    <n v="149996"/>
  </r>
  <r>
    <s v="20241129-1117N0055"/>
    <s v="20241129"/>
    <x v="2"/>
    <s v="05"/>
    <s v="20241212"/>
    <n v="40000"/>
    <s v="나이론(옥텐)100"/>
    <s v="300x405=삼방"/>
    <n v="300"/>
    <n v="405"/>
    <x v="1"/>
    <s v="018"/>
    <s v="삼방-나이론(옥텐)100-300"/>
    <s v="삼방-나이론(옥텐)100-300"/>
    <n v="8"/>
    <n v="8"/>
    <n v="320000"/>
  </r>
  <r>
    <s v="20241129-2000169629"/>
    <s v="20241129"/>
    <x v="1"/>
    <s v="05"/>
    <s v="20241202"/>
    <n v="20000"/>
    <s v="PET100"/>
    <s v="100mm*500mm=띠지"/>
    <n v="100"/>
    <n v="500"/>
    <x v="10"/>
    <s v="066"/>
    <s v="간지-PET100-100"/>
    <s v="간지-PET100-100"/>
    <n v="9"/>
    <n v="9"/>
    <n v="180000"/>
  </r>
  <r>
    <s v="20241202-1000149508"/>
    <s v="20241202"/>
    <x v="2"/>
    <s v="05"/>
    <s v="20241213"/>
    <n v="15384"/>
    <s v="오씨피피(투명)80"/>
    <s v="195x260=삼방-지퍼(하단오픈)"/>
    <n v="195"/>
    <n v="260"/>
    <x v="4"/>
    <s v="052"/>
    <s v="삼방-지퍼-오씨피피(투명)80-195"/>
    <s v="삼방-지퍼-오씨피피(투명)80-195"/>
    <n v="19"/>
    <n v="19"/>
    <n v="292296"/>
  </r>
  <r>
    <s v="20241202-1000150743"/>
    <s v="20241202"/>
    <x v="2"/>
    <s v="05"/>
    <s v="20241213"/>
    <n v="24000"/>
    <s v="나이론60"/>
    <s v="250x450=삼방"/>
    <n v="250"/>
    <n v="450"/>
    <x v="1"/>
    <s v="018"/>
    <s v="삼방-나이론60-250"/>
    <s v="삼방-나이론60-250"/>
    <n v="7"/>
    <n v="7"/>
    <n v="168000"/>
  </r>
  <r>
    <s v="20241202-1000152102"/>
    <s v="20241202"/>
    <x v="2"/>
    <s v="05"/>
    <s v="20241213"/>
    <n v="15384"/>
    <s v="오씨피피(투명)80"/>
    <s v="195x260=삼방-지퍼(하단오픈)"/>
    <n v="195"/>
    <n v="260"/>
    <x v="4"/>
    <s v="052"/>
    <s v="삼방-지퍼-오씨피피(투명)80-195"/>
    <s v="삼방-지퍼-오씨피피(투명)80-195"/>
    <n v="19"/>
    <n v="19"/>
    <n v="292296"/>
  </r>
  <r>
    <s v="20241202-1000158450"/>
    <s v="20241202"/>
    <x v="0"/>
    <s v="05"/>
    <s v="20241213"/>
    <n v="9230"/>
    <s v="나이론60"/>
    <s v="350x650=삼방꼬리"/>
    <n v="350"/>
    <n v="650"/>
    <x v="5"/>
    <s v="022"/>
    <s v="삼방꼬리-나이론60-350"/>
    <s v="삼방꼬리-나이론60-650"/>
    <n v="14"/>
    <n v="14"/>
    <n v="129220"/>
  </r>
  <r>
    <s v="20241202-150095"/>
    <s v="20241202"/>
    <x v="1"/>
    <s v="05"/>
    <s v="20241212"/>
    <n v="10344"/>
    <s v="나이론(크린)80"/>
    <s v="580x610=삼방"/>
    <n v="580"/>
    <n v="610"/>
    <x v="1"/>
    <s v="018"/>
    <s v="삼방-나이론(크린)80-580"/>
    <s v="삼방-나이론(크린)80-580"/>
    <n v="15"/>
    <n v="15"/>
    <n v="155160"/>
  </r>
  <r>
    <s v="20241203-1000143636"/>
    <s v="20241203"/>
    <x v="2"/>
    <s v="05"/>
    <s v="20241216"/>
    <n v="35294"/>
    <s v="나이론(메탈로젠)100"/>
    <s v="170mm*210mm=삼방"/>
    <n v="170"/>
    <n v="210"/>
    <x v="1"/>
    <s v="018"/>
    <s v="삼방-나이론(메탈로젠)100-170"/>
    <s v="삼방-나이론(메탈로젠)100-170"/>
    <n v="5"/>
    <n v="5"/>
    <n v="176470"/>
  </r>
  <r>
    <s v="20241203-1000158633"/>
    <s v="20241203"/>
    <x v="2"/>
    <s v="05"/>
    <s v="20241216"/>
    <n v="37500"/>
    <s v="나이론70"/>
    <s v="160mm*250mm=삼방"/>
    <n v="160"/>
    <n v="250"/>
    <x v="1"/>
    <s v="018"/>
    <s v="삼방-나이론70-160"/>
    <s v="삼방-나이론70-160"/>
    <n v="5"/>
    <n v="5"/>
    <n v="187500"/>
  </r>
  <r>
    <s v="20241203-1000169883"/>
    <s v="20241203"/>
    <x v="2"/>
    <s v="05"/>
    <s v="20241216"/>
    <n v="41379"/>
    <s v="정전기120"/>
    <s v="290mm*370mm=삼방-바람구멍1개(5mm)[윤선생-무지]"/>
    <n v="290"/>
    <n v="370"/>
    <x v="1"/>
    <s v="018"/>
    <s v="삼방-정전기120-290"/>
    <s v="삼방-정전기120-290"/>
    <n v="8"/>
    <n v="8"/>
    <n v="331032"/>
  </r>
  <r>
    <s v="20241203-1117P0158"/>
    <s v="20241203"/>
    <x v="2"/>
    <s v="05"/>
    <s v="20241211"/>
    <n v="17142"/>
    <s v="나이론80"/>
    <s v="350x370=삼방"/>
    <n v="350"/>
    <n v="370"/>
    <x v="1"/>
    <s v="018"/>
    <s v="삼방-나이론80-350"/>
    <s v="삼방-나이론80-350"/>
    <n v="9"/>
    <n v="9"/>
    <n v="154278"/>
  </r>
  <r>
    <s v="20241203-1319N0028"/>
    <s v="20241203"/>
    <x v="2"/>
    <s v="05"/>
    <s v="20241219"/>
    <n v="140077"/>
    <s v="정전기120"/>
    <s v="257x330=삼방-바람구멍1개(5mm)[윤선생-무지]"/>
    <n v="257"/>
    <n v="330"/>
    <x v="1"/>
    <s v="018"/>
    <s v="삼방-정전기120-257"/>
    <s v="삼방-정전기120-257"/>
    <n v="7"/>
    <n v="7"/>
    <n v="980539"/>
  </r>
  <r>
    <s v="20241204-1000147349"/>
    <s v="20241203"/>
    <x v="1"/>
    <s v="05"/>
    <s v="20241216"/>
    <n v="66666"/>
    <s v="오씨피피(투명)60"/>
    <s v="90x150=삼방-2폭"/>
    <n v="90"/>
    <n v="150"/>
    <x v="7"/>
    <s v="019"/>
    <s v="삼방-2폭-오씨피피(투명)60-90"/>
    <s v="삼방-2폭-오씨피피(투명)60-90"/>
    <n v="5"/>
    <n v="4"/>
    <n v="266664"/>
  </r>
  <r>
    <s v="20241204-1000168502"/>
    <s v="20241204"/>
    <x v="1"/>
    <s v="05"/>
    <s v="20241217"/>
    <n v="18750"/>
    <s v="패트92"/>
    <s v="320mm*520mm=삼방"/>
    <n v="320"/>
    <n v="520"/>
    <x v="1"/>
    <s v="018"/>
    <s v="삼방-패트92-320"/>
    <s v="삼방-패트92-320"/>
    <n v="8"/>
    <n v="8"/>
    <n v="150000"/>
  </r>
  <r>
    <s v="20241204-1000169871"/>
    <s v="20241204"/>
    <x v="2"/>
    <s v="05"/>
    <s v="20241218"/>
    <n v="7500"/>
    <s v="패트(투명)82"/>
    <s v="400mm*290mm+45mm=삼방스탠드"/>
    <n v="400"/>
    <n v="290"/>
    <x v="3"/>
    <s v="046"/>
    <s v="삼방스탠드-패트(투명)82-400"/>
    <s v="삼방스탠드-패트(투명)82-400"/>
    <n v="40"/>
    <n v="40"/>
    <n v="300000"/>
  </r>
  <r>
    <s v="20241204-1000169920"/>
    <s v="20241204"/>
    <x v="2"/>
    <s v="05"/>
    <s v="20241217"/>
    <n v="30769"/>
    <s v="오씨피피(투명)80"/>
    <s v="195x260=삼방-지퍼(하단오픈)"/>
    <n v="195"/>
    <n v="260"/>
    <x v="4"/>
    <s v="052"/>
    <s v="삼방-지퍼-오씨피피(투명)80-195"/>
    <s v="삼방-지퍼-오씨피피(투명)80-195"/>
    <n v="19"/>
    <n v="19"/>
    <n v="584611"/>
  </r>
  <r>
    <s v="20241204-1000169928"/>
    <s v="20241204"/>
    <x v="2"/>
    <s v="05"/>
    <s v="20241217"/>
    <n v="30000"/>
    <s v="나이론(무광)120"/>
    <s v="65mm*180mm=삼방"/>
    <n v="65"/>
    <n v="180"/>
    <x v="1"/>
    <s v="018"/>
    <s v="삼방-나이론(무광)120-65"/>
    <s v="삼방-나이론(무광)120-65"/>
    <n v="5"/>
    <n v="5"/>
    <n v="150000"/>
  </r>
  <r>
    <s v="20241204-13160151"/>
    <s v="20241204"/>
    <x v="0"/>
    <s v="05"/>
    <s v="20241213"/>
    <n v="50000"/>
    <s v="[구이 2-10]나이론(자동포장용)100"/>
    <s v="240mm*280mm=삼방"/>
    <n v="240"/>
    <n v="280"/>
    <x v="1"/>
    <s v="018"/>
    <s v="삼방-[구이 2-10]나이론(자동포장용)100-240"/>
    <s v="삼방-[구이 2-10]나이론(자동포장용)100-240"/>
    <n v="6"/>
    <n v="6"/>
    <n v="300000"/>
  </r>
  <r>
    <s v="20241204-1316P0076"/>
    <s v="20241203"/>
    <x v="0"/>
    <s v="05"/>
    <s v="20241216"/>
    <n v="28571"/>
    <s v="패씨피피60"/>
    <s v="210x250=삼방-고리구멍8mm"/>
    <n v="210"/>
    <n v="250"/>
    <x v="1"/>
    <s v="018"/>
    <s v="삼방-패씨피피60-210"/>
    <s v="삼방-패씨피피60-210"/>
    <n v="6"/>
    <n v="6"/>
    <n v="171426"/>
  </r>
  <r>
    <s v="20241205-1000137856"/>
    <s v="20241205"/>
    <x v="0"/>
    <s v="05"/>
    <s v="20241218"/>
    <n v="34285"/>
    <s v="나이론60"/>
    <s v="350x450=삼방"/>
    <n v="350"/>
    <n v="450"/>
    <x v="1"/>
    <s v="018"/>
    <s v="삼방-나이론60-350"/>
    <s v="삼방-나이론60-350"/>
    <n v="9"/>
    <n v="9"/>
    <n v="308565"/>
  </r>
  <r>
    <s v="20241205-1000138052"/>
    <s v="20241205"/>
    <x v="2"/>
    <s v="05"/>
    <s v="20241216"/>
    <n v="24000"/>
    <s v="나이론(유무광)100"/>
    <s v="250mm*380mm=삼방-지퍼(하단오픈)"/>
    <n v="250"/>
    <n v="380"/>
    <x v="4"/>
    <s v="052"/>
    <s v="삼방-지퍼-나이론(유무광)100-250"/>
    <s v="삼방-지퍼-나이론(유무광)100-250"/>
    <n v="25"/>
    <n v="25"/>
    <n v="600000"/>
  </r>
  <r>
    <s v="20241205-1000139129"/>
    <s v="20241205"/>
    <x v="0"/>
    <s v="05"/>
    <s v="20241218"/>
    <n v="9230"/>
    <s v="나이론60"/>
    <s v="400x650=삼방꼬리"/>
    <n v="400"/>
    <n v="650"/>
    <x v="8"/>
    <s v="090"/>
    <s v="삼방꼬리-HD씨링-나이론60-400"/>
    <s v="삼방꼬리-HD씨링-나이론60-400"/>
    <n v="14"/>
    <n v="14.5"/>
    <n v="133835"/>
  </r>
  <r>
    <s v="20241205-1000141781"/>
    <s v="20241205"/>
    <x v="2"/>
    <s v="05"/>
    <s v="20241216"/>
    <n v="24000"/>
    <s v="나이론(유무광)100"/>
    <s v="250mm*380mm=삼방-지퍼(하단오픈)"/>
    <n v="250"/>
    <n v="380"/>
    <x v="4"/>
    <s v="052"/>
    <s v="삼방-지퍼-나이론(유무광)100-250"/>
    <s v="삼방-지퍼-나이론(유무광)100-250"/>
    <n v="25"/>
    <n v="25"/>
    <n v="600000"/>
  </r>
  <r>
    <s v="20241205-1000146641"/>
    <s v="20241205"/>
    <x v="2"/>
    <s v="05"/>
    <s v="20241218"/>
    <n v="16666"/>
    <s v="패트(유무광)90"/>
    <s v="360mm*430mm=삼방-지퍼"/>
    <n v="360"/>
    <n v="430"/>
    <x v="4"/>
    <s v="052"/>
    <s v="삼방-지퍼-패트(유무광)90-360"/>
    <s v="삼방-지퍼-패트(유무광)90-360"/>
    <n v="36"/>
    <n v="36"/>
    <n v="599976"/>
  </r>
  <r>
    <s v="20241205-1000152197"/>
    <s v="20241205"/>
    <x v="1"/>
    <s v="05"/>
    <s v="20241218"/>
    <n v="240000"/>
    <s v="나이론(유무광)100"/>
    <s v="200mm*200mm=삼방-2폭"/>
    <n v="200"/>
    <n v="200"/>
    <x v="7"/>
    <s v="019"/>
    <s v="삼방-2폭-나이론(유무광)100-200"/>
    <s v="삼방-2폭-나이론(유무광)100-200"/>
    <n v="5"/>
    <n v="4"/>
    <n v="960000"/>
  </r>
  <r>
    <s v="20241205-1000153537"/>
    <s v="20241205"/>
    <x v="2"/>
    <s v="05"/>
    <s v="20241218"/>
    <n v="54545"/>
    <s v="패트(유무광)120"/>
    <s v="220mm*300mm=삼방-지퍼-바람구멍1개(2mm)"/>
    <n v="220"/>
    <n v="300"/>
    <x v="4"/>
    <s v="052"/>
    <s v="삼방-지퍼-패트(유무광)120-220"/>
    <s v="삼방-지퍼-패트(유무광)120-220"/>
    <n v="22"/>
    <n v="22"/>
    <n v="1199990"/>
  </r>
  <r>
    <s v="20241205-1000159007"/>
    <s v="20241205"/>
    <x v="2"/>
    <s v="05"/>
    <s v="20241218"/>
    <n v="26086"/>
    <s v="오씨피피(투명)70"/>
    <s v="230x300=삼방-지퍼(하단오픈)"/>
    <n v="230"/>
    <n v="300"/>
    <x v="4"/>
    <s v="052"/>
    <s v="삼방-지퍼-오씨피피(투명)70-230"/>
    <s v="삼방-지퍼-오씨피피(투명)70-230"/>
    <n v="7"/>
    <n v="7"/>
    <n v="182602"/>
  </r>
  <r>
    <s v="20241205-1000162659"/>
    <s v="20241205"/>
    <x v="2"/>
    <s v="05"/>
    <s v="20241218"/>
    <n v="15000"/>
    <s v="나이론70"/>
    <s v="400mm*320mm=삼방"/>
    <n v="400"/>
    <n v="320"/>
    <x v="1"/>
    <s v="018"/>
    <s v="삼방-나이론70-400"/>
    <s v="삼방-나이론70-400"/>
    <n v="10"/>
    <n v="10"/>
    <n v="150000"/>
  </r>
  <r>
    <s v="20241205-1000165517"/>
    <s v="20241205"/>
    <x v="0"/>
    <s v="05"/>
    <s v="20241213"/>
    <n v="15000"/>
    <s v="나이론70"/>
    <s v="400mm*300mm=삼방-가분수"/>
    <n v="400"/>
    <n v="300"/>
    <x v="1"/>
    <s v="018"/>
    <s v="삼방-나이론70-400"/>
    <s v="삼방-나이론70-400"/>
    <n v="10"/>
    <n v="10"/>
    <n v="150000"/>
  </r>
  <r>
    <s v="20241205-1000169370"/>
    <s v="20241204"/>
    <x v="2"/>
    <s v="05"/>
    <s v="20241219"/>
    <n v="75000"/>
    <s v="오씨피피(투명)70"/>
    <s v="250mm*320mm=삼방꼬리"/>
    <n v="250"/>
    <n v="320"/>
    <x v="5"/>
    <s v="022"/>
    <s v="삼방꼬리-오씨피피(투명)70-250"/>
    <s v="삼방꼬리-오씨피피(투명)70-320"/>
    <n v="7"/>
    <n v="7"/>
    <n v="525000"/>
  </r>
  <r>
    <s v="20241205-1000169931"/>
    <s v="20241205"/>
    <x v="2"/>
    <s v="05"/>
    <s v="20241218"/>
    <n v="30000"/>
    <s v="패트90"/>
    <s v="200mm*250mm=삼방"/>
    <n v="200"/>
    <n v="250"/>
    <x v="1"/>
    <s v="018"/>
    <s v="삼방-패트90-200"/>
    <s v="삼방-패트90-200"/>
    <n v="5"/>
    <n v="5"/>
    <n v="150000"/>
  </r>
  <r>
    <s v="20241205-903002"/>
    <s v="20241205"/>
    <x v="2"/>
    <s v="05"/>
    <s v="20241225"/>
    <n v="400000"/>
    <s v="진지스120"/>
    <s v="150x220+40=삼방스탠드-타원밑지분리형-지퍼"/>
    <n v="150"/>
    <n v="220"/>
    <x v="2"/>
    <s v="048"/>
    <s v="삼방스탠드-지퍼-진지스120-150"/>
    <s v="삼방스탠드-지퍼-진지스120-150"/>
    <n v="21"/>
    <n v="21"/>
    <n v="8400000"/>
  </r>
  <r>
    <s v="20241206-1000154035"/>
    <s v="20241206"/>
    <x v="1"/>
    <s v="05"/>
    <s v="20241219"/>
    <n v="28571"/>
    <s v="나이론(자동포장용)110"/>
    <s v="210x300=삼방-지퍼"/>
    <n v="210"/>
    <n v="300"/>
    <x v="4"/>
    <s v="052"/>
    <s v="삼방-지퍼-나이론(자동포장용)110-210"/>
    <s v="삼방-지퍼-나이론(자동포장용)110-210"/>
    <n v="21"/>
    <n v="21"/>
    <n v="599991"/>
  </r>
  <r>
    <s v="20241206-1000155583"/>
    <s v="20241206"/>
    <x v="1"/>
    <s v="05"/>
    <s v="20241223"/>
    <n v="326530"/>
    <s v="나이론80"/>
    <s v="147mm*175mm=삼방-2폭"/>
    <n v="147"/>
    <n v="175"/>
    <x v="7"/>
    <s v="019"/>
    <s v="삼방-2폭-나이론80-147"/>
    <s v="삼방-2폭-나이론80-147"/>
    <n v="5"/>
    <n v="4"/>
    <n v="1306120"/>
  </r>
  <r>
    <s v="20241206-1000159156"/>
    <s v="20241206"/>
    <x v="1"/>
    <s v="05"/>
    <s v="20241217"/>
    <n v="27272"/>
    <s v="나이론(자동포장용)110"/>
    <s v="220mm*330mm=삼방-지퍼"/>
    <n v="220"/>
    <n v="330"/>
    <x v="4"/>
    <s v="052"/>
    <s v="삼방-지퍼-나이론(자동포장용)110-220"/>
    <s v="삼방-지퍼-나이론(자동포장용)110-220"/>
    <n v="22"/>
    <n v="22"/>
    <n v="599984"/>
  </r>
  <r>
    <s v="20241206-1000163732"/>
    <s v="20241205"/>
    <x v="1"/>
    <s v="05"/>
    <s v="20241218"/>
    <n v="17142"/>
    <s v="나이론70"/>
    <s v="350mm*600mm=삼방"/>
    <n v="350"/>
    <n v="600"/>
    <x v="1"/>
    <s v="018"/>
    <s v="삼방-나이론70-350"/>
    <s v="삼방-나이론70-350"/>
    <n v="9"/>
    <n v="9"/>
    <n v="154278"/>
  </r>
  <r>
    <s v="20241206-1000167559"/>
    <s v="20241206"/>
    <x v="1"/>
    <s v="05"/>
    <s v="20241218"/>
    <n v="27272"/>
    <s v="패트(유무광)80"/>
    <s v="220x250=삼방"/>
    <n v="220"/>
    <n v="250"/>
    <x v="1"/>
    <s v="018"/>
    <s v="삼방-패트(유무광)80-220"/>
    <s v="삼방-패트(유무광)80-220"/>
    <n v="6"/>
    <n v="6"/>
    <n v="163632"/>
  </r>
  <r>
    <s v="20241206-1000168436"/>
    <s v="20241205"/>
    <x v="2"/>
    <s v="05"/>
    <s v="20241219"/>
    <n v="75000"/>
    <s v="은박(무광)130"/>
    <s v="120mm*185mm+35mm=삼방스탠드-지퍼"/>
    <n v="120"/>
    <n v="185"/>
    <x v="2"/>
    <s v="048"/>
    <s v="삼방스탠드-지퍼-은박(무광)130-120"/>
    <s v="삼방스탠드-지퍼-은박(무광)130-120"/>
    <n v="16.8"/>
    <n v="16.8"/>
    <n v="1260000"/>
  </r>
  <r>
    <s v="20241206-1000168443"/>
    <s v="20241205"/>
    <x v="2"/>
    <s v="05"/>
    <s v="20241219"/>
    <n v="25000"/>
    <s v="은박(무광)130"/>
    <s v="120mm*185mm+35mm=삼방스탠드-지퍼"/>
    <n v="120"/>
    <n v="185"/>
    <x v="2"/>
    <s v="048"/>
    <s v="삼방스탠드-지퍼-은박(무광)130-120"/>
    <s v="삼방스탠드-지퍼-은박(무광)130-120"/>
    <n v="16.8"/>
    <n v="16.8"/>
    <n v="420000"/>
  </r>
  <r>
    <s v="20241206-1000169941"/>
    <s v="20241206"/>
    <x v="2"/>
    <s v="05"/>
    <s v="20241219"/>
    <n v="20000"/>
    <s v="나이론105"/>
    <s v="300mm*290mm=삼방"/>
    <n v="300"/>
    <n v="290"/>
    <x v="1"/>
    <s v="018"/>
    <s v="삼방-나이론105-300"/>
    <s v="삼방-나이론105-300"/>
    <n v="8"/>
    <n v="8"/>
    <n v="160000"/>
  </r>
  <r>
    <s v="20241206-1000169949"/>
    <s v="20241206"/>
    <x v="1"/>
    <s v="05"/>
    <s v="20241219"/>
    <n v="14285"/>
    <s v="PET175"/>
    <s v="70mm*440mm=띠지"/>
    <n v="70"/>
    <n v="440"/>
    <x v="10"/>
    <s v="066"/>
    <s v="간지-PET175-70"/>
    <s v="간지-PET175-70"/>
    <n v="9"/>
    <n v="9"/>
    <n v="128565"/>
  </r>
  <r>
    <s v="20241206-1000169956"/>
    <s v="20241206"/>
    <x v="2"/>
    <s v="05"/>
    <s v="20241219"/>
    <n v="33333"/>
    <s v="전투후은120"/>
    <s v="180mm*260mm+50mm=2단삼방스탠드-지퍼"/>
    <n v="180"/>
    <n v="260"/>
    <x v="11"/>
    <s v="038"/>
    <s v="2단삼방스탠드-지퍼-전투후은120-180"/>
    <s v="2단삼방스탠드-지퍼-전투후은120-180"/>
    <n v="25.2"/>
    <n v="25.2"/>
    <n v="839991.6"/>
  </r>
  <r>
    <s v="20241206-1119P0054"/>
    <s v="20241206"/>
    <x v="2"/>
    <s v="05"/>
    <s v="20241218"/>
    <n v="27272"/>
    <s v="패트(유무광)100"/>
    <s v="220x280=삼방"/>
    <n v="220"/>
    <n v="280"/>
    <x v="1"/>
    <s v="018"/>
    <s v="삼방-패트(유무광)100-220"/>
    <s v="삼방-패트(유무광)100-220"/>
    <n v="6"/>
    <n v="6"/>
    <n v="163632"/>
  </r>
  <r>
    <s v="20241206-1219P0390"/>
    <s v="20241206"/>
    <x v="2"/>
    <s v="05"/>
    <s v="20241219"/>
    <n v="24000"/>
    <s v="나이론80"/>
    <s v="250x340=삼방"/>
    <n v="250"/>
    <n v="340"/>
    <x v="1"/>
    <s v="018"/>
    <s v="삼방-나이론80-250"/>
    <s v="삼방-나이론80-250"/>
    <n v="7"/>
    <n v="7"/>
    <n v="168000"/>
  </r>
  <r>
    <s v="20241209-1000156494"/>
    <s v="20241209"/>
    <x v="2"/>
    <s v="05"/>
    <s v="20241220"/>
    <n v="26086"/>
    <s v="오씨피피(투명)80"/>
    <s v="230x300=삼방-지퍼(하단오픈)"/>
    <n v="230"/>
    <n v="300"/>
    <x v="4"/>
    <s v="052"/>
    <s v="삼방-지퍼-오씨피피(투명)80-230"/>
    <s v="삼방-지퍼-오씨피피(투명)80-230"/>
    <n v="23"/>
    <n v="23"/>
    <n v="599978"/>
  </r>
  <r>
    <s v="20241209-1000165055"/>
    <s v="20241209"/>
    <x v="1"/>
    <s v="05"/>
    <s v="20241220"/>
    <n v="35294"/>
    <s v="나이론(유무광)105"/>
    <s v="170mm*580mm=삼방"/>
    <n v="170"/>
    <n v="580"/>
    <x v="1"/>
    <s v="018"/>
    <s v="삼방-나이론(유무광)105-170"/>
    <s v="삼방-나이론(유무광)105-170"/>
    <n v="5"/>
    <n v="5"/>
    <n v="176470"/>
  </r>
  <r>
    <s v="20241209-1000169997"/>
    <s v="20241209"/>
    <x v="0"/>
    <s v="05"/>
    <s v="20241220"/>
    <n v="46153"/>
    <s v="패트100"/>
    <s v="260mm*360mm=삼방-지퍼-바람구멍1개(1mm)"/>
    <n v="260"/>
    <n v="360"/>
    <x v="4"/>
    <s v="052"/>
    <s v="삼방-지퍼-패트100-260"/>
    <s v="삼방-지퍼-패트100-260"/>
    <n v="26"/>
    <n v="26"/>
    <n v="1199978"/>
  </r>
  <r>
    <s v="20241209-1116P0191"/>
    <s v="20241209"/>
    <x v="1"/>
    <s v="05"/>
    <s v="20241220"/>
    <n v="10909"/>
    <s v="나이론(옥텐)140"/>
    <s v="400x550=삼방꼬리"/>
    <n v="400"/>
    <n v="550"/>
    <x v="5"/>
    <s v="022"/>
    <s v="삼방꼬리-나이론(옥텐)140-400"/>
    <s v="삼방꼬리-나이론(옥텐)140-550"/>
    <n v="22"/>
    <n v="22"/>
    <n v="239998"/>
  </r>
  <r>
    <s v="20241209-140358"/>
    <s v="20241209"/>
    <x v="2"/>
    <s v="05"/>
    <s v="20241223"/>
    <n v="35294"/>
    <s v="은박100"/>
    <s v="170x250=삼방(사각라운드O)"/>
    <n v="170"/>
    <n v="250"/>
    <x v="1"/>
    <s v="018"/>
    <s v="삼방-은박100-170"/>
    <s v="삼방-은박100-170"/>
    <n v="5"/>
    <n v="5"/>
    <n v="176470"/>
  </r>
  <r>
    <s v="20241209-141216"/>
    <s v="20241209"/>
    <x v="0"/>
    <s v="05"/>
    <s v="20241220"/>
    <n v="60000"/>
    <s v="패트100"/>
    <s v="200x300=삼방-지퍼-바람구멍1개*1mm"/>
    <n v="200"/>
    <n v="300"/>
    <x v="4"/>
    <s v="052"/>
    <s v="삼방-지퍼-패트100-200"/>
    <s v="삼방-지퍼-패트100-200"/>
    <n v="20"/>
    <n v="20"/>
    <n v="1200000"/>
  </r>
  <r>
    <s v="20241209-1420P0042"/>
    <s v="20241209"/>
    <x v="2"/>
    <s v="05"/>
    <s v="20241220"/>
    <n v="23076"/>
    <s v="오씨피피(유무광)70"/>
    <s v="260x360=삼방-지퍼(하단오픈)"/>
    <n v="260"/>
    <n v="360"/>
    <x v="4"/>
    <s v="052"/>
    <s v="삼방-지퍼-오씨피피(유무광)70-260"/>
    <s v="삼방-지퍼-오씨피피(유무광)70-260"/>
    <n v="26"/>
    <n v="26"/>
    <n v="599976"/>
  </r>
  <r>
    <s v="20241210-1000145489"/>
    <s v="20241210"/>
    <x v="0"/>
    <s v="05"/>
    <s v="20241223"/>
    <n v="16216"/>
    <s v="나이론80"/>
    <s v="370x280=삼방-가분수"/>
    <n v="370"/>
    <n v="280"/>
    <x v="1"/>
    <s v="018"/>
    <s v="삼방-나이론80-370"/>
    <s v="삼방-나이론80-370"/>
    <n v="10"/>
    <n v="10"/>
    <n v="162160"/>
  </r>
  <r>
    <s v="20241210-1000151254"/>
    <s v="20241210"/>
    <x v="0"/>
    <s v="05"/>
    <s v="20241223"/>
    <n v="16216"/>
    <s v="나이론80"/>
    <s v="370x280=삼방-가분수"/>
    <n v="370"/>
    <n v="280"/>
    <x v="1"/>
    <s v="018"/>
    <s v="삼방-나이론80-370"/>
    <s v="삼방-나이론80-370"/>
    <n v="10"/>
    <n v="10"/>
    <n v="162160"/>
  </r>
  <r>
    <s v="20241210-1000157897"/>
    <s v="20241209"/>
    <x v="1"/>
    <s v="05"/>
    <s v="20241220"/>
    <n v="24000"/>
    <s v="오씨피피(무광)80"/>
    <s v="250mm*335mm=삼방-지퍼"/>
    <n v="250"/>
    <n v="335"/>
    <x v="4"/>
    <s v="052"/>
    <s v="삼방-지퍼-오씨피피(무광)80-250"/>
    <s v="삼방-지퍼-오씨피피(무광)80-250"/>
    <n v="25"/>
    <n v="25"/>
    <n v="600000"/>
  </r>
  <r>
    <s v="20241210-1000160893"/>
    <s v="20241210"/>
    <x v="2"/>
    <s v="05"/>
    <s v="20241220"/>
    <n v="57142"/>
    <s v="나이론110"/>
    <s v="315mm*430mm=삼방"/>
    <n v="315"/>
    <n v="430"/>
    <x v="1"/>
    <s v="018"/>
    <s v="삼방-나이론110-315"/>
    <s v="삼방-나이론110-315"/>
    <n v="8"/>
    <n v="8"/>
    <n v="457136"/>
  </r>
  <r>
    <s v="20241210-1000162115"/>
    <s v="20241210"/>
    <x v="2"/>
    <s v="05"/>
    <s v="20241220"/>
    <n v="30000"/>
    <s v="패트100"/>
    <s v="200x300=삼방-지퍼"/>
    <n v="200"/>
    <n v="300"/>
    <x v="4"/>
    <s v="052"/>
    <s v="삼방-지퍼-패트100-200"/>
    <s v="삼방-지퍼-패트100-200"/>
    <n v="20"/>
    <n v="20"/>
    <n v="600000"/>
  </r>
  <r>
    <s v="20241210-1000163340"/>
    <s v="20241210"/>
    <x v="2"/>
    <s v="05"/>
    <s v="20241216"/>
    <n v="60000"/>
    <s v="정전기75"/>
    <s v="100x150=삼방-지퍼"/>
    <n v="100"/>
    <n v="150"/>
    <x v="4"/>
    <s v="052"/>
    <s v="삼방-지퍼-정전기75-100"/>
    <s v="삼방-지퍼-정전기75-100"/>
    <n v="10"/>
    <n v="10"/>
    <n v="600000"/>
  </r>
  <r>
    <s v="20241210-1000164958"/>
    <s v="20241209"/>
    <x v="1"/>
    <s v="05"/>
    <s v="20241223"/>
    <n v="40000"/>
    <s v="나이론105"/>
    <s v="300mm*420mm=삼방"/>
    <n v="300"/>
    <n v="420"/>
    <x v="1"/>
    <s v="018"/>
    <s v="삼방-나이론105-300"/>
    <s v="삼방-나이론105-300"/>
    <n v="8"/>
    <n v="8"/>
    <n v="320000"/>
  </r>
  <r>
    <s v="20241210-1000165165"/>
    <s v="20241209"/>
    <x v="1"/>
    <s v="05"/>
    <s v="20241219"/>
    <n v="40000"/>
    <s v="나이론105"/>
    <s v="300mm*420mm=삼방"/>
    <n v="300"/>
    <n v="420"/>
    <x v="1"/>
    <s v="018"/>
    <s v="삼방-나이론105-300"/>
    <s v="삼방-나이론105-300"/>
    <n v="8"/>
    <n v="8"/>
    <n v="320000"/>
  </r>
  <r>
    <s v="20241210-1000165959"/>
    <s v="20241210"/>
    <x v="2"/>
    <s v="05"/>
    <s v="20241223"/>
    <n v="26086"/>
    <s v="나이론(유무광)110"/>
    <s v="230mm*510mm=삼방"/>
    <n v="230"/>
    <n v="510"/>
    <x v="1"/>
    <s v="018"/>
    <s v="삼방-나이론(유무광)110-230"/>
    <s v="삼방-나이론(유무광)110-230"/>
    <n v="6"/>
    <n v="6"/>
    <n v="156516"/>
  </r>
  <r>
    <s v="20241210-1000169983"/>
    <s v="20241210"/>
    <x v="2"/>
    <s v="05"/>
    <s v="20241220"/>
    <n v="5300"/>
    <s v="패트60"/>
    <s v="160x200=삼방"/>
    <n v="160"/>
    <n v="200"/>
    <x v="1"/>
    <s v="018"/>
    <s v="삼방-패트60-160"/>
    <s v="삼방-패트60-160"/>
    <n v="5"/>
    <n v="5"/>
    <n v="26500"/>
  </r>
  <r>
    <s v="20241210-1000169985"/>
    <s v="20241210"/>
    <x v="2"/>
    <s v="05"/>
    <s v="20241223"/>
    <n v="30500"/>
    <s v="패트60"/>
    <s v="160x200=삼방"/>
    <n v="160"/>
    <n v="200"/>
    <x v="1"/>
    <s v="018"/>
    <s v="삼방-패트60-160"/>
    <s v="삼방-패트60-160"/>
    <n v="5"/>
    <n v="5"/>
    <n v="152500"/>
  </r>
  <r>
    <s v="20241210-1000169987"/>
    <s v="20241210"/>
    <x v="2"/>
    <s v="05"/>
    <s v="20241223"/>
    <n v="61500"/>
    <s v="패트60"/>
    <s v="160x200=삼방"/>
    <n v="160"/>
    <n v="200"/>
    <x v="1"/>
    <s v="018"/>
    <s v="삼방-패트60-160"/>
    <s v="삼방-패트60-160"/>
    <n v="5"/>
    <n v="5"/>
    <n v="307500"/>
  </r>
  <r>
    <s v="20241210-1000170004"/>
    <s v="20241210"/>
    <x v="2"/>
    <s v="05"/>
    <s v="20241223"/>
    <n v="35294"/>
    <s v="패트90"/>
    <s v="170mm*310mm=삼방-지퍼-타공4개(8mm)"/>
    <n v="170"/>
    <n v="310"/>
    <x v="4"/>
    <s v="052"/>
    <s v="삼방-지퍼-패트90-170"/>
    <s v="삼방-지퍼-패트90-170"/>
    <n v="17"/>
    <n v="17"/>
    <n v="599998"/>
  </r>
  <r>
    <s v="20241210-11150297"/>
    <s v="20241209"/>
    <x v="1"/>
    <s v="05"/>
    <s v="20241218"/>
    <n v="48000"/>
    <s v="나이론(유백/유무광)115"/>
    <s v="250x280=삼방-지퍼(하단오픈)"/>
    <n v="250"/>
    <n v="280"/>
    <x v="4"/>
    <s v="052"/>
    <s v="삼방-지퍼-나이론(유백/유무광)115-250"/>
    <s v="삼방-지퍼-나이론(유백/유무광)115-250"/>
    <n v="25"/>
    <n v="25"/>
    <n v="1200000"/>
  </r>
  <r>
    <s v="20241210-1219P0336"/>
    <s v="20241210"/>
    <x v="2"/>
    <s v="05"/>
    <s v="20241223"/>
    <n v="30000"/>
    <s v="나이론80"/>
    <s v="200x280=삼방"/>
    <n v="200"/>
    <n v="280"/>
    <x v="1"/>
    <s v="018"/>
    <s v="삼방-나이론80-200"/>
    <s v="삼방-나이론80-200"/>
    <n v="5"/>
    <n v="5"/>
    <n v="150000"/>
  </r>
  <r>
    <s v="20241210-1219P0337"/>
    <s v="20241210"/>
    <x v="2"/>
    <s v="05"/>
    <s v="20241223"/>
    <n v="30000"/>
    <s v="나이론80"/>
    <s v="200x280=삼방"/>
    <n v="200"/>
    <n v="280"/>
    <x v="1"/>
    <s v="018"/>
    <s v="삼방-나이론80-200"/>
    <s v="삼방-나이론80-200"/>
    <n v="5"/>
    <n v="5"/>
    <n v="150000"/>
  </r>
  <r>
    <s v="20241210-1619P0061"/>
    <s v="20241210"/>
    <x v="0"/>
    <s v="05"/>
    <s v="20241223"/>
    <n v="16216"/>
    <s v="나이론80"/>
    <s v="370x280=삼방-가분수"/>
    <n v="370"/>
    <n v="280"/>
    <x v="1"/>
    <s v="018"/>
    <s v="삼방-나이론80-370"/>
    <s v="삼방-나이론80-370"/>
    <n v="10"/>
    <n v="10"/>
    <n v="162160"/>
  </r>
  <r>
    <s v="20241211-1000157743"/>
    <s v="20241211"/>
    <x v="2"/>
    <s v="05"/>
    <s v="20241224"/>
    <n v="33333"/>
    <s v="패트120"/>
    <s v="180x260+50=삼방스탠드"/>
    <n v="180"/>
    <n v="260"/>
    <x v="3"/>
    <s v="046"/>
    <s v="삼방스탠드-패트120-180"/>
    <s v="삼방스탠드-패트120-180"/>
    <n v="18"/>
    <n v="18"/>
    <n v="599994"/>
  </r>
  <r>
    <s v="20241211-1117N0055"/>
    <s v="20241211"/>
    <x v="2"/>
    <s v="05"/>
    <s v="20241224"/>
    <n v="40000"/>
    <s v="나이론(옥텐)100"/>
    <s v="300x405=삼방"/>
    <n v="300"/>
    <n v="405"/>
    <x v="1"/>
    <s v="018"/>
    <s v="삼방-나이론(옥텐)100-300"/>
    <s v="삼방-나이론(옥텐)100-300"/>
    <n v="8"/>
    <n v="8"/>
    <n v="320000"/>
  </r>
  <r>
    <s v="20241211-1419P0236"/>
    <s v="20241211"/>
    <x v="0"/>
    <s v="05"/>
    <s v="20241224"/>
    <n v="11428"/>
    <s v="오씨피피(투명)80"/>
    <s v="210x525=삼방꼬리"/>
    <n v="210"/>
    <n v="525"/>
    <x v="5"/>
    <s v="022"/>
    <s v="삼방꼬리-오씨피피(투명)80-210"/>
    <s v="삼방꼬리-오씨피피(투명)80-525"/>
    <n v="12"/>
    <n v="12"/>
    <n v="137136"/>
  </r>
  <r>
    <s v="20241212-1000144905"/>
    <s v="20241212"/>
    <x v="2"/>
    <s v="05"/>
    <s v="20241225"/>
    <n v="35294"/>
    <s v="나이론100"/>
    <s v="170mm*270mm=삼방"/>
    <n v="170"/>
    <n v="270"/>
    <x v="1"/>
    <s v="018"/>
    <s v="삼방-나이론100-170"/>
    <s v="삼방-나이론100-170"/>
    <n v="5"/>
    <n v="5"/>
    <n v="176470"/>
  </r>
  <r>
    <s v="20241212-1000150745"/>
    <s v="20241212"/>
    <x v="0"/>
    <s v="05"/>
    <s v="20241225"/>
    <n v="17142"/>
    <s v="나이론60"/>
    <s v="350x450=삼방"/>
    <n v="350"/>
    <n v="450"/>
    <x v="0"/>
    <s v="089"/>
    <s v="삼방-HD씨링-나이론60-350"/>
    <s v="삼방-HD씨링-나이론60-350"/>
    <n v="9"/>
    <n v="9.5"/>
    <n v="162849"/>
  </r>
  <r>
    <s v="20241212-1000159704"/>
    <s v="20241212"/>
    <x v="2"/>
    <s v="05"/>
    <s v="20241224"/>
    <n v="31578"/>
    <s v="나이론100"/>
    <s v="190mm*270mm=삼방"/>
    <n v="190"/>
    <n v="270"/>
    <x v="1"/>
    <s v="018"/>
    <s v="삼방-나이론100-190"/>
    <s v="삼방-나이론100-190"/>
    <n v="5"/>
    <n v="5"/>
    <n v="157890"/>
  </r>
  <r>
    <s v="20241212-1000164143"/>
    <s v="20241212"/>
    <x v="1"/>
    <s v="05"/>
    <s v="20241223"/>
    <n v="30000"/>
    <s v="나이론95"/>
    <s v="200mm*255mm=삼방"/>
    <n v="200"/>
    <n v="255"/>
    <x v="1"/>
    <s v="018"/>
    <s v="삼방-나이론95-200"/>
    <s v="삼방-나이론95-200"/>
    <n v="5"/>
    <n v="5"/>
    <n v="150000"/>
  </r>
  <r>
    <s v="20241212-1000165249"/>
    <s v="20241212"/>
    <x v="1"/>
    <s v="05"/>
    <s v="20241225"/>
    <n v="22222"/>
    <s v="나이론(유백/유무광)105"/>
    <s v="270x380=삼방-지퍼(하단오픈)"/>
    <n v="270"/>
    <n v="380"/>
    <x v="4"/>
    <s v="052"/>
    <s v="삼방-지퍼-나이론(유백/유무광)105-270"/>
    <s v="삼방-지퍼-나이론(유백/유무광)105-270"/>
    <n v="27"/>
    <n v="27"/>
    <n v="599994"/>
  </r>
  <r>
    <s v="20241212-1000168755"/>
    <s v="20241212"/>
    <x v="2"/>
    <s v="05"/>
    <s v="20241225"/>
    <n v="7500"/>
    <s v="나이론60"/>
    <s v="280mm*800mm=삼방꼬리(v칼-중앙)"/>
    <n v="280"/>
    <n v="800"/>
    <x v="5"/>
    <s v="022"/>
    <s v="삼방꼬리-나이론60-280"/>
    <s v="삼방꼬리-나이론60-800"/>
    <n v="18"/>
    <n v="18"/>
    <n v="135000"/>
  </r>
  <r>
    <s v="20241212-1000168759"/>
    <s v="20241212"/>
    <x v="2"/>
    <s v="05"/>
    <s v="20241225"/>
    <n v="8571"/>
    <s v="나이론60"/>
    <s v="280mm*700mm=삼방꼬리(v칼-2개)"/>
    <n v="280"/>
    <n v="700"/>
    <x v="5"/>
    <s v="022"/>
    <s v="삼방꼬리-나이론60-280"/>
    <s v="삼방꼬리-나이론60-700"/>
    <n v="16"/>
    <n v="16"/>
    <n v="137136"/>
  </r>
  <r>
    <s v="20241212-1000168763"/>
    <s v="20241212"/>
    <x v="2"/>
    <s v="05"/>
    <s v="20241225"/>
    <n v="8571"/>
    <s v="나이론60"/>
    <s v="250mm*700mm=삼방꼬리(v칼-2개)"/>
    <n v="250"/>
    <n v="700"/>
    <x v="5"/>
    <s v="022"/>
    <s v="삼방꼬리-나이론60-250"/>
    <s v="삼방꼬리-나이론60-700"/>
    <n v="16"/>
    <n v="16"/>
    <n v="137136"/>
  </r>
  <r>
    <s v="20241212-1000168767"/>
    <s v="20241212"/>
    <x v="2"/>
    <s v="05"/>
    <s v="20241225"/>
    <n v="10344"/>
    <s v="나이론60"/>
    <s v="250mm*580mm=삼방꼬리(v칼-2개)"/>
    <n v="250"/>
    <n v="580"/>
    <x v="5"/>
    <s v="022"/>
    <s v="삼방꼬리-나이론60-250"/>
    <s v="삼방꼬리-나이론60-580"/>
    <n v="12"/>
    <n v="12"/>
    <n v="124128"/>
  </r>
  <r>
    <s v="20241212-1420P0232"/>
    <s v="20241212"/>
    <x v="2"/>
    <s v="05"/>
    <s v="20241225"/>
    <n v="20000"/>
    <s v="오씨피피(유무광)70=6도-장수 건해산물 1kg(300x420)"/>
    <s v="300x420=삼방-지퍼(하단오픈)"/>
    <n v="300"/>
    <n v="420"/>
    <x v="4"/>
    <s v="052"/>
    <s v="삼방-지퍼-오씨피피(유무광)70=6도-장수 건해산물 1kg(300x420)-300"/>
    <s v="삼방-지퍼-오씨피피(유무광)70=6도-장수 건해산물 1kg(300x420)-300"/>
    <n v="30"/>
    <n v="30"/>
    <n v="600000"/>
  </r>
  <r>
    <s v="20241213-1000170018"/>
    <s v="20241212"/>
    <x v="2"/>
    <s v="05"/>
    <s v="20241224"/>
    <n v="22000"/>
    <s v="증착70"/>
    <s v="200mm*350mm=삼방"/>
    <n v="200"/>
    <n v="350"/>
    <x v="1"/>
    <s v="018"/>
    <s v="삼방-증착70-200"/>
    <s v="삼방-증착70-200"/>
    <n v="5"/>
    <n v="5"/>
    <n v="110000"/>
  </r>
  <r>
    <s v="20241213-1000170019"/>
    <s v="20241212"/>
    <x v="2"/>
    <s v="05"/>
    <s v="20241223"/>
    <n v="10000"/>
    <s v="증착70"/>
    <s v="160mm*350mm=삼방"/>
    <n v="160"/>
    <n v="350"/>
    <x v="1"/>
    <s v="018"/>
    <s v="삼방-증착70-160"/>
    <s v="삼방-증착70-160"/>
    <n v="5"/>
    <n v="5"/>
    <n v="50000"/>
  </r>
  <r>
    <s v="20241213-130441"/>
    <s v="20241212"/>
    <x v="2"/>
    <s v="05"/>
    <s v="20241225"/>
    <n v="8571"/>
    <s v="나이론70"/>
    <s v="270x700=삼방꼬리"/>
    <n v="270"/>
    <n v="700"/>
    <x v="5"/>
    <s v="022"/>
    <s v="삼방꼬리-나이론70-270"/>
    <s v="삼방꼬리-나이론70-700"/>
    <n v="16"/>
    <n v="16"/>
    <n v="1371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EA9915-4D61-4ABA-B7E8-997C95C6047F}" name="12월피벗1" cacheId="86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1" rowHeaderCaption="업체명">
  <location ref="B6:C10" firstHeaderRow="1" firstDataRow="1" firstDataCol="1"/>
  <pivotFields count="17">
    <pivotField showAll="0"/>
    <pivotField showAll="0"/>
    <pivotField axis="axisRow" showAll="0" sortType="descending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stimate_price" fld="16" baseField="0" baseItem="0"/>
  </dataFields>
  <formats count="13">
    <format dxfId="12">
      <pivotArea outline="0" collapsedLevelsAreSubtotals="1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2" type="button" dataOnly="0" labelOnly="1" outline="0" axis="axisRow" fieldPosition="0"/>
    </format>
    <format dxfId="8">
      <pivotArea dataOnly="0" labelOnly="1" fieldPosition="0">
        <references count="1">
          <reference field="2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2" type="button" dataOnly="0" labelOnly="1" outline="0" axis="axisRow" fieldPosition="0"/>
    </format>
    <format dxfId="2">
      <pivotArea dataOnly="0" labelOnly="1" fieldPosition="0">
        <references count="1">
          <reference field="2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3">
    <chartFormat chart="0" format="38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8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8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BBE802-C002-473F-82B6-DFA6A236D555}" name="12월피벗2" cacheId="86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1" rowHeaderCaption="업체명">
  <location ref="E6:F35" firstHeaderRow="1" firstDataRow="1" firstDataCol="1"/>
  <pivotFields count="17">
    <pivotField showAll="0"/>
    <pivotField showAll="0"/>
    <pivotField axis="axisRow" showAll="0" sortType="descending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3">
        <item x="0"/>
        <item x="1"/>
        <item x="3"/>
        <item x="4"/>
        <item x="5"/>
        <item x="8"/>
        <item x="2"/>
        <item x="7"/>
        <item x="6"/>
        <item x="9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</pivotFields>
  <rowFields count="2">
    <field x="2"/>
    <field x="10"/>
  </rowFields>
  <rowItems count="29">
    <i>
      <x/>
    </i>
    <i r="1">
      <x v="6"/>
    </i>
    <i r="1">
      <x v="3"/>
    </i>
    <i r="1">
      <x/>
    </i>
    <i r="1">
      <x v="1"/>
    </i>
    <i r="1">
      <x v="2"/>
    </i>
    <i r="1">
      <x v="9"/>
    </i>
    <i r="1">
      <x v="4"/>
    </i>
    <i r="1">
      <x v="8"/>
    </i>
    <i r="1">
      <x v="11"/>
    </i>
    <i r="1">
      <x v="7"/>
    </i>
    <i>
      <x v="1"/>
    </i>
    <i r="1">
      <x/>
    </i>
    <i r="1">
      <x v="6"/>
    </i>
    <i r="1">
      <x v="1"/>
    </i>
    <i r="1">
      <x v="3"/>
    </i>
    <i r="1">
      <x v="2"/>
    </i>
    <i r="1">
      <x v="4"/>
    </i>
    <i r="1">
      <x v="5"/>
    </i>
    <i>
      <x v="2"/>
    </i>
    <i r="1">
      <x v="3"/>
    </i>
    <i r="1">
      <x/>
    </i>
    <i r="1">
      <x v="1"/>
    </i>
    <i r="1">
      <x v="8"/>
    </i>
    <i r="1">
      <x v="7"/>
    </i>
    <i r="1">
      <x v="5"/>
    </i>
    <i r="1">
      <x v="4"/>
    </i>
    <i r="1">
      <x v="10"/>
    </i>
    <i t="grand">
      <x/>
    </i>
  </rowItems>
  <colItems count="1">
    <i/>
  </colItems>
  <dataFields count="1">
    <dataField name="Sum of estimate_price" fld="16" baseField="0" baseItem="0"/>
  </dataFields>
  <formats count="15">
    <format dxfId="27">
      <pivotArea outline="0" collapsedLevelsAreSubtotals="1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2" type="button" dataOnly="0" labelOnly="1" outline="0" axis="axisRow" fieldPosition="0"/>
    </format>
    <format dxfId="23">
      <pivotArea dataOnly="0" labelOnly="1" fieldPosition="0">
        <references count="1">
          <reference field="2" count="0"/>
        </references>
      </pivotArea>
    </format>
    <format dxfId="22">
      <pivotArea dataOnly="0" labelOnly="1" grandRow="1" outline="0" fieldPosition="0"/>
    </format>
    <format dxfId="21">
      <pivotArea dataOnly="0" labelOnly="1" fieldPosition="0">
        <references count="2">
          <reference field="2" count="1" selected="0">
            <x v="0"/>
          </reference>
          <reference field="10" count="0"/>
        </references>
      </pivotArea>
    </format>
    <format dxfId="20">
      <pivotArea dataOnly="0" labelOnly="1" outline="0" axis="axisValues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2" type="button" dataOnly="0" labelOnly="1" outline="0" axis="axisRow" fieldPosition="0"/>
    </format>
    <format dxfId="16">
      <pivotArea dataOnly="0" labelOnly="1" fieldPosition="0">
        <references count="1">
          <reference field="2" count="0"/>
        </references>
      </pivotArea>
    </format>
    <format dxfId="15">
      <pivotArea dataOnly="0" labelOnly="1" grandRow="1" outline="0" fieldPosition="0"/>
    </format>
    <format dxfId="14">
      <pivotArea dataOnly="0" labelOnly="1" fieldPosition="0">
        <references count="2">
          <reference field="2" count="1" selected="0">
            <x v="0"/>
          </reference>
          <reference field="10" count="0"/>
        </references>
      </pivotArea>
    </format>
    <format dxfId="13">
      <pivotArea dataOnly="0" labelOnly="1" outline="0" axis="axisValues" fieldPosition="0"/>
    </format>
  </formats>
  <chartFormats count="16">
    <chartFormat chart="0" format="138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38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0"/>
          </reference>
        </references>
      </pivotArea>
    </chartFormat>
    <chartFormat chart="0" format="1382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6"/>
          </reference>
        </references>
      </pivotArea>
    </chartFormat>
    <chartFormat chart="0" format="1383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1"/>
          </reference>
        </references>
      </pivotArea>
    </chartFormat>
    <chartFormat chart="0" format="1384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3"/>
          </reference>
        </references>
      </pivotArea>
    </chartFormat>
    <chartFormat chart="0" format="1385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2"/>
          </reference>
        </references>
      </pivotArea>
    </chartFormat>
    <chartFormat chart="0" format="1386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4"/>
          </reference>
        </references>
      </pivotArea>
    </chartFormat>
    <chartFormat chart="0" format="1387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10" count="1" selected="0">
            <x v="5"/>
          </reference>
        </references>
      </pivotArea>
    </chartFormat>
    <chartFormat chart="0" format="1388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10" count="1" selected="0">
            <x v="3"/>
          </reference>
        </references>
      </pivotArea>
    </chartFormat>
    <chartFormat chart="0" format="1389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10" count="1" selected="0">
            <x v="0"/>
          </reference>
        </references>
      </pivotArea>
    </chartFormat>
    <chartFormat chart="0" format="1390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10" count="1" selected="0">
            <x v="1"/>
          </reference>
        </references>
      </pivotArea>
    </chartFormat>
    <chartFormat chart="0" format="139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10" count="1" selected="0">
            <x v="8"/>
          </reference>
        </references>
      </pivotArea>
    </chartFormat>
    <chartFormat chart="0" format="1392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10" count="1" selected="0">
            <x v="7"/>
          </reference>
        </references>
      </pivotArea>
    </chartFormat>
    <chartFormat chart="0" format="1393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10" count="1" selected="0">
            <x v="5"/>
          </reference>
        </references>
      </pivotArea>
    </chartFormat>
    <chartFormat chart="0" format="1394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10" count="1" selected="0">
            <x v="4"/>
          </reference>
        </references>
      </pivotArea>
    </chartFormat>
    <chartFormat chart="0" format="1395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10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3B93F86B-5C47-4B96-9AAE-6ED7E0A560B1}" autoFormatId="16" applyNumberFormats="0" applyBorderFormats="0" applyFontFormats="0" applyPatternFormats="0" applyAlignmentFormats="0" applyWidthHeightFormats="0">
  <queryTableRefresh nextId="18">
    <queryTableFields count="17">
      <queryTableField id="1" name="주문번호" tableColumnId="1"/>
      <queryTableField id="2" name="주문일자" tableColumnId="2"/>
      <queryTableField id="3" name="외주처명" tableColumnId="3"/>
      <queryTableField id="4" name="공정코드" tableColumnId="4"/>
      <queryTableField id="5" name="공정납기일" tableColumnId="5"/>
      <queryTableField id="6" name="작업지시량" tableColumnId="6"/>
      <queryTableField id="7" name="품목이름" tableColumnId="7"/>
      <queryTableField id="8" name="품목타입" tableColumnId="8"/>
      <queryTableField id="9" name="품목너비" tableColumnId="9"/>
      <queryTableField id="10" name="품목높이" tableColumnId="10"/>
      <queryTableField id="11" name="제대타입" tableColumnId="11"/>
      <queryTableField id="12" name="CD_JAEDAETYPE" tableColumnId="12"/>
      <queryTableField id="13" name="단가key" tableColumnId="13"/>
      <queryTableField id="14" name="단가수정key" tableColumnId="14"/>
      <queryTableField id="15" name="basic_price" tableColumnId="15"/>
      <queryTableField id="16" name="unit_price" tableColumnId="16"/>
      <queryTableField id="17" name="estimate_price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0F9E-DEE8-4571-A3B2-B07A69324FAC}" name="쿼리1" displayName="쿼리1" ref="A1:Q256" tableType="queryTable" totalsRowShown="0">
  <autoFilter ref="A1:Q256" xr:uid="{27980F9E-DEE8-4571-A3B2-B07A69324FAC}"/>
  <tableColumns count="17">
    <tableColumn id="1" xr3:uid="{0B97D6E1-F38F-4375-A847-4A9701E6CBE9}" uniqueName="1" name="주문번호" queryTableFieldId="1" dataDxfId="38"/>
    <tableColumn id="2" xr3:uid="{8B11575E-42C3-43FC-A6EE-06986947D380}" uniqueName="2" name="주문일자" queryTableFieldId="2" dataDxfId="37"/>
    <tableColumn id="3" xr3:uid="{35B5F2B7-9FD4-4A19-B3F1-894218162601}" uniqueName="3" name="외주처명" queryTableFieldId="3" dataDxfId="36"/>
    <tableColumn id="4" xr3:uid="{A0F572C9-15BF-460B-81FC-7C215FC1A18B}" uniqueName="4" name="공정코드" queryTableFieldId="4" dataDxfId="35"/>
    <tableColumn id="5" xr3:uid="{2BDB956C-DA51-4A34-BC81-4E4F31687C5C}" uniqueName="5" name="공정납기일" queryTableFieldId="5" dataDxfId="34"/>
    <tableColumn id="6" xr3:uid="{6F8C2AE9-3699-42BE-8F9E-6697B2F016FC}" uniqueName="6" name="작업지시량" queryTableFieldId="6"/>
    <tableColumn id="7" xr3:uid="{30816A67-4C19-40A6-9824-636615506426}" uniqueName="7" name="품목이름" queryTableFieldId="7" dataDxfId="33"/>
    <tableColumn id="8" xr3:uid="{C89D7051-7C61-4221-AB6A-60150237E0E2}" uniqueName="8" name="품목타입" queryTableFieldId="8" dataDxfId="32"/>
    <tableColumn id="9" xr3:uid="{325945EF-1791-4EF9-AEB8-7D22DB2FC2A0}" uniqueName="9" name="품목너비" queryTableFieldId="9"/>
    <tableColumn id="10" xr3:uid="{C796C05D-683D-4047-99AB-30EE53BF2DF2}" uniqueName="10" name="품목높이" queryTableFieldId="10"/>
    <tableColumn id="11" xr3:uid="{0D608B44-7716-42E0-8031-9B6F48AB1D93}" uniqueName="11" name="제대타입" queryTableFieldId="11" dataDxfId="31"/>
    <tableColumn id="12" xr3:uid="{F255DA89-F6F2-4E8A-9FAF-480DC62D4E3C}" uniqueName="12" name="CD_JAEDAETYPE" queryTableFieldId="12" dataDxfId="30"/>
    <tableColumn id="13" xr3:uid="{F51663F6-93B2-48D4-8D0C-E83FEB4D4D16}" uniqueName="13" name="단가key" queryTableFieldId="13" dataDxfId="29"/>
    <tableColumn id="14" xr3:uid="{537E96BF-CF29-435B-B1EE-CEABB8E3E209}" uniqueName="14" name="단가수정key" queryTableFieldId="14" dataDxfId="28"/>
    <tableColumn id="15" xr3:uid="{62E873CC-6425-46EE-949A-034D658DDBE9}" uniqueName="15" name="basic_price" queryTableFieldId="15"/>
    <tableColumn id="16" xr3:uid="{1E8BF7E5-1DBD-4EEF-967A-BB8FC8297EFB}" uniqueName="16" name="unit_price" queryTableFieldId="16"/>
    <tableColumn id="17" xr3:uid="{C9CF2231-50AC-4A5D-9D67-3409C5C57E4F}" uniqueName="17" name="estimate_price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B2:T11"/>
  <sheetViews>
    <sheetView showGridLines="0" tabSelected="1" zoomScale="85" zoomScaleNormal="85" workbookViewId="0">
      <selection activeCell="B2" sqref="B2:T3"/>
    </sheetView>
  </sheetViews>
  <sheetFormatPr defaultRowHeight="16.5" x14ac:dyDescent="0.3"/>
  <cols>
    <col min="1" max="1" width="3.125" customWidth="1"/>
  </cols>
  <sheetData>
    <row r="2" spans="2:20" x14ac:dyDescent="0.3">
      <c r="B2" s="5" t="s">
        <v>75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</row>
    <row r="3" spans="2:20" x14ac:dyDescent="0.3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2:20" x14ac:dyDescent="0.3">
      <c r="B4" s="5" t="s">
        <v>76</v>
      </c>
      <c r="C4" s="5" t="s">
        <v>79</v>
      </c>
      <c r="D4" s="5"/>
      <c r="E4" s="5"/>
      <c r="F4" s="5"/>
      <c r="G4" s="5"/>
      <c r="H4" s="5"/>
      <c r="I4" s="5" t="s">
        <v>78</v>
      </c>
      <c r="J4" s="5"/>
      <c r="K4" s="5"/>
      <c r="L4" s="5"/>
      <c r="M4" s="5"/>
      <c r="N4" s="5"/>
      <c r="O4" s="5" t="s">
        <v>77</v>
      </c>
      <c r="P4" s="5"/>
      <c r="Q4" s="5"/>
      <c r="R4" s="5"/>
      <c r="S4" s="5"/>
      <c r="T4" s="5"/>
    </row>
    <row r="5" spans="2:20" x14ac:dyDescent="0.3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2:20" ht="17.100000000000001" customHeight="1" x14ac:dyDescent="0.3">
      <c r="B6" s="6" t="s">
        <v>377</v>
      </c>
      <c r="C6" s="4">
        <f>VLOOKUP(C$4, 쿼리_피벗!$B:$C, 2,0)</f>
        <v>111851613.09999999</v>
      </c>
      <c r="D6" s="4"/>
      <c r="E6" s="4"/>
      <c r="F6" s="4"/>
      <c r="G6" s="4"/>
      <c r="H6" s="4"/>
      <c r="I6" s="4">
        <f>VLOOKUP(I$4, 쿼리_피벗!$B:$C, 2,0)</f>
        <v>38106703.5</v>
      </c>
      <c r="J6" s="4"/>
      <c r="K6" s="4"/>
      <c r="L6" s="4"/>
      <c r="M6" s="4"/>
      <c r="N6" s="4"/>
      <c r="O6" s="4">
        <f>VLOOKUP(O$4, 쿼리_피벗!$B:$C, 2,0)</f>
        <v>38312254</v>
      </c>
      <c r="P6" s="4"/>
      <c r="Q6" s="4"/>
      <c r="R6" s="4"/>
      <c r="S6" s="4"/>
      <c r="T6" s="4"/>
    </row>
    <row r="7" spans="2:20" ht="17.100000000000001" customHeight="1" x14ac:dyDescent="0.3">
      <c r="B7" s="6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2:20" ht="17.100000000000001" customHeight="1" x14ac:dyDescent="0.3">
      <c r="B8" s="6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2:20" ht="17.100000000000001" customHeight="1" x14ac:dyDescent="0.3"/>
    <row r="10" spans="2:20" ht="17.100000000000001" customHeight="1" x14ac:dyDescent="0.3"/>
    <row r="11" spans="2:20" ht="17.100000000000001" customHeight="1" x14ac:dyDescent="0.3"/>
  </sheetData>
  <mergeCells count="9">
    <mergeCell ref="O6:T8"/>
    <mergeCell ref="B2:T3"/>
    <mergeCell ref="B4:B5"/>
    <mergeCell ref="C4:H5"/>
    <mergeCell ref="I4:N5"/>
    <mergeCell ref="O4:T5"/>
    <mergeCell ref="B6:B8"/>
    <mergeCell ref="C6:H8"/>
    <mergeCell ref="I6:N8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nalVBA2">
                <anchor moveWithCells="1" sizeWithCells="1">
                  <from>
                    <xdr:col>21</xdr:col>
                    <xdr:colOff>28575</xdr:colOff>
                    <xdr:row>2</xdr:row>
                    <xdr:rowOff>0</xdr:rowOff>
                  </from>
                  <to>
                    <xdr:col>25</xdr:col>
                    <xdr:colOff>161925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5A659-2150-4ACD-A82B-BE49DC5EB7C8}">
  <sheetPr codeName="Sheet5"/>
  <dimension ref="A1:Q256"/>
  <sheetViews>
    <sheetView topLeftCell="A235" workbookViewId="0"/>
  </sheetViews>
  <sheetFormatPr defaultRowHeight="16.5" x14ac:dyDescent="0.3"/>
  <cols>
    <col min="1" max="1" width="21.375" bestFit="1" customWidth="1"/>
    <col min="2" max="4" width="11.25" bestFit="1" customWidth="1"/>
    <col min="5" max="6" width="13.25" bestFit="1" customWidth="1"/>
    <col min="7" max="7" width="50.625" bestFit="1" customWidth="1"/>
    <col min="8" max="8" width="67" bestFit="1" customWidth="1"/>
    <col min="9" max="10" width="11.25" bestFit="1" customWidth="1"/>
    <col min="11" max="11" width="19.125" bestFit="1" customWidth="1"/>
    <col min="12" max="12" width="19" bestFit="1" customWidth="1"/>
    <col min="13" max="14" width="64.75" bestFit="1" customWidth="1"/>
    <col min="15" max="15" width="13.25" bestFit="1" customWidth="1"/>
    <col min="16" max="16" width="12.25" bestFit="1" customWidth="1"/>
    <col min="17" max="17" width="16.875" bestFit="1" customWidth="1"/>
  </cols>
  <sheetData>
    <row r="1" spans="1:1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99</v>
      </c>
      <c r="K1" t="s">
        <v>8</v>
      </c>
      <c r="L1" t="s">
        <v>199</v>
      </c>
      <c r="M1" t="s">
        <v>164</v>
      </c>
      <c r="N1" t="s">
        <v>195</v>
      </c>
      <c r="O1" t="s">
        <v>200</v>
      </c>
      <c r="P1" t="s">
        <v>201</v>
      </c>
      <c r="Q1" t="s">
        <v>202</v>
      </c>
    </row>
    <row r="2" spans="1:17" x14ac:dyDescent="0.3">
      <c r="A2" t="s">
        <v>203</v>
      </c>
      <c r="B2" t="s">
        <v>19</v>
      </c>
      <c r="C2" t="s">
        <v>18</v>
      </c>
      <c r="D2" t="s">
        <v>11</v>
      </c>
      <c r="E2" t="s">
        <v>204</v>
      </c>
      <c r="F2">
        <v>720000</v>
      </c>
      <c r="G2" t="s">
        <v>34</v>
      </c>
      <c r="H2" t="s">
        <v>35</v>
      </c>
      <c r="I2">
        <v>250</v>
      </c>
      <c r="J2">
        <v>350</v>
      </c>
      <c r="K2" t="s">
        <v>92</v>
      </c>
      <c r="L2" t="s">
        <v>36</v>
      </c>
      <c r="M2" t="s">
        <v>170</v>
      </c>
      <c r="N2" t="s">
        <v>170</v>
      </c>
      <c r="O2">
        <v>7</v>
      </c>
      <c r="P2">
        <v>7.5</v>
      </c>
      <c r="Q2">
        <v>5400000</v>
      </c>
    </row>
    <row r="3" spans="1:17" x14ac:dyDescent="0.3">
      <c r="A3" t="s">
        <v>205</v>
      </c>
      <c r="B3" t="s">
        <v>57</v>
      </c>
      <c r="C3" t="s">
        <v>10</v>
      </c>
      <c r="D3" t="s">
        <v>11</v>
      </c>
      <c r="E3" t="s">
        <v>206</v>
      </c>
      <c r="F3">
        <v>562500</v>
      </c>
      <c r="G3" t="s">
        <v>23</v>
      </c>
      <c r="H3" t="s">
        <v>70</v>
      </c>
      <c r="I3">
        <v>320</v>
      </c>
      <c r="J3">
        <v>400</v>
      </c>
      <c r="K3" t="s">
        <v>92</v>
      </c>
      <c r="L3" t="s">
        <v>36</v>
      </c>
      <c r="M3" t="s">
        <v>186</v>
      </c>
      <c r="N3" t="s">
        <v>186</v>
      </c>
      <c r="O3">
        <v>8</v>
      </c>
      <c r="P3">
        <v>8.5</v>
      </c>
      <c r="Q3">
        <v>4781250</v>
      </c>
    </row>
    <row r="4" spans="1:17" x14ac:dyDescent="0.3">
      <c r="A4" t="s">
        <v>207</v>
      </c>
      <c r="B4" t="s">
        <v>63</v>
      </c>
      <c r="C4" t="s">
        <v>10</v>
      </c>
      <c r="D4" t="s">
        <v>11</v>
      </c>
      <c r="E4" t="s">
        <v>208</v>
      </c>
      <c r="F4">
        <v>26086</v>
      </c>
      <c r="G4" t="s">
        <v>64</v>
      </c>
      <c r="H4" t="s">
        <v>82</v>
      </c>
      <c r="I4">
        <v>230</v>
      </c>
      <c r="J4">
        <v>290</v>
      </c>
      <c r="K4" t="s">
        <v>97</v>
      </c>
      <c r="L4" t="s">
        <v>98</v>
      </c>
      <c r="M4" t="s">
        <v>147</v>
      </c>
      <c r="N4" t="s">
        <v>147</v>
      </c>
      <c r="O4">
        <v>6</v>
      </c>
      <c r="P4">
        <v>6</v>
      </c>
      <c r="Q4">
        <v>156516</v>
      </c>
    </row>
    <row r="5" spans="1:17" x14ac:dyDescent="0.3">
      <c r="A5" t="s">
        <v>209</v>
      </c>
      <c r="B5" t="s">
        <v>60</v>
      </c>
      <c r="C5" t="s">
        <v>13</v>
      </c>
      <c r="D5" t="s">
        <v>11</v>
      </c>
      <c r="E5" t="s">
        <v>210</v>
      </c>
      <c r="F5">
        <v>391304</v>
      </c>
      <c r="G5" t="s">
        <v>23</v>
      </c>
      <c r="H5" t="s">
        <v>39</v>
      </c>
      <c r="I5">
        <v>230</v>
      </c>
      <c r="J5">
        <v>320</v>
      </c>
      <c r="K5" t="s">
        <v>92</v>
      </c>
      <c r="L5" t="s">
        <v>36</v>
      </c>
      <c r="M5" t="s">
        <v>141</v>
      </c>
      <c r="N5" t="s">
        <v>141</v>
      </c>
      <c r="O5">
        <v>6</v>
      </c>
      <c r="P5">
        <v>6.5</v>
      </c>
      <c r="Q5">
        <v>2543476</v>
      </c>
    </row>
    <row r="6" spans="1:17" x14ac:dyDescent="0.3">
      <c r="A6" t="s">
        <v>211</v>
      </c>
      <c r="B6" t="s">
        <v>60</v>
      </c>
      <c r="C6" t="s">
        <v>13</v>
      </c>
      <c r="D6" t="s">
        <v>11</v>
      </c>
      <c r="E6" t="s">
        <v>212</v>
      </c>
      <c r="F6">
        <v>240000</v>
      </c>
      <c r="G6" t="s">
        <v>53</v>
      </c>
      <c r="H6" t="s">
        <v>52</v>
      </c>
      <c r="I6">
        <v>150</v>
      </c>
      <c r="J6">
        <v>220</v>
      </c>
      <c r="K6" t="s">
        <v>132</v>
      </c>
      <c r="L6" t="s">
        <v>51</v>
      </c>
      <c r="M6" t="s">
        <v>158</v>
      </c>
      <c r="N6" t="s">
        <v>158</v>
      </c>
      <c r="O6">
        <v>21</v>
      </c>
      <c r="P6">
        <v>21</v>
      </c>
      <c r="Q6">
        <v>5040000</v>
      </c>
    </row>
    <row r="7" spans="1:17" x14ac:dyDescent="0.3">
      <c r="A7" t="s">
        <v>213</v>
      </c>
      <c r="B7" t="s">
        <v>66</v>
      </c>
      <c r="C7" t="s">
        <v>13</v>
      </c>
      <c r="D7" t="s">
        <v>11</v>
      </c>
      <c r="E7" t="s">
        <v>214</v>
      </c>
      <c r="F7">
        <v>15000</v>
      </c>
      <c r="G7" t="s">
        <v>215</v>
      </c>
      <c r="H7" t="s">
        <v>216</v>
      </c>
      <c r="I7">
        <v>400</v>
      </c>
      <c r="J7">
        <v>290</v>
      </c>
      <c r="K7" t="s">
        <v>133</v>
      </c>
      <c r="L7" t="s">
        <v>32</v>
      </c>
      <c r="M7" t="s">
        <v>217</v>
      </c>
      <c r="N7" t="s">
        <v>217</v>
      </c>
      <c r="O7">
        <v>40</v>
      </c>
      <c r="P7">
        <v>40</v>
      </c>
      <c r="Q7">
        <v>600000</v>
      </c>
    </row>
    <row r="8" spans="1:17" x14ac:dyDescent="0.3">
      <c r="A8" t="s">
        <v>218</v>
      </c>
      <c r="B8" t="s">
        <v>66</v>
      </c>
      <c r="C8" t="s">
        <v>10</v>
      </c>
      <c r="D8" t="s">
        <v>11</v>
      </c>
      <c r="E8" t="s">
        <v>208</v>
      </c>
      <c r="F8">
        <v>25000</v>
      </c>
      <c r="G8" t="s">
        <v>16</v>
      </c>
      <c r="H8" t="s">
        <v>219</v>
      </c>
      <c r="I8">
        <v>240</v>
      </c>
      <c r="J8">
        <v>365</v>
      </c>
      <c r="K8" t="s">
        <v>93</v>
      </c>
      <c r="L8" t="s">
        <v>12</v>
      </c>
      <c r="M8" t="s">
        <v>220</v>
      </c>
      <c r="N8" t="s">
        <v>220</v>
      </c>
      <c r="O8">
        <v>24</v>
      </c>
      <c r="P8">
        <v>24</v>
      </c>
      <c r="Q8">
        <v>600000</v>
      </c>
    </row>
    <row r="9" spans="1:17" x14ac:dyDescent="0.3">
      <c r="A9" t="s">
        <v>221</v>
      </c>
      <c r="B9" t="s">
        <v>66</v>
      </c>
      <c r="C9" t="s">
        <v>13</v>
      </c>
      <c r="D9" t="s">
        <v>11</v>
      </c>
      <c r="E9" t="s">
        <v>208</v>
      </c>
      <c r="F9">
        <v>24000</v>
      </c>
      <c r="G9" t="s">
        <v>25</v>
      </c>
      <c r="H9" t="s">
        <v>109</v>
      </c>
      <c r="I9">
        <v>250</v>
      </c>
      <c r="J9">
        <v>340</v>
      </c>
      <c r="K9" t="s">
        <v>97</v>
      </c>
      <c r="L9" t="s">
        <v>98</v>
      </c>
      <c r="M9" t="s">
        <v>155</v>
      </c>
      <c r="N9" t="s">
        <v>155</v>
      </c>
      <c r="O9">
        <v>7</v>
      </c>
      <c r="P9">
        <v>7</v>
      </c>
      <c r="Q9">
        <v>168000</v>
      </c>
    </row>
    <row r="10" spans="1:17" x14ac:dyDescent="0.3">
      <c r="A10" t="s">
        <v>222</v>
      </c>
      <c r="B10" t="s">
        <v>66</v>
      </c>
      <c r="C10" t="s">
        <v>18</v>
      </c>
      <c r="D10" t="s">
        <v>11</v>
      </c>
      <c r="E10" t="s">
        <v>208</v>
      </c>
      <c r="F10">
        <v>8571</v>
      </c>
      <c r="G10" t="s">
        <v>23</v>
      </c>
      <c r="H10" t="s">
        <v>123</v>
      </c>
      <c r="I10">
        <v>270</v>
      </c>
      <c r="J10">
        <v>700</v>
      </c>
      <c r="K10" t="s">
        <v>94</v>
      </c>
      <c r="L10" t="s">
        <v>95</v>
      </c>
      <c r="M10" t="s">
        <v>169</v>
      </c>
      <c r="N10" t="s">
        <v>197</v>
      </c>
      <c r="O10">
        <v>16</v>
      </c>
      <c r="P10">
        <v>16</v>
      </c>
      <c r="Q10">
        <v>137136</v>
      </c>
    </row>
    <row r="11" spans="1:17" x14ac:dyDescent="0.3">
      <c r="A11" t="s">
        <v>223</v>
      </c>
      <c r="B11" t="s">
        <v>62</v>
      </c>
      <c r="C11" t="s">
        <v>10</v>
      </c>
      <c r="D11" t="s">
        <v>11</v>
      </c>
      <c r="E11" t="s">
        <v>214</v>
      </c>
      <c r="F11">
        <v>33333</v>
      </c>
      <c r="G11" t="s">
        <v>194</v>
      </c>
      <c r="H11" t="s">
        <v>224</v>
      </c>
      <c r="I11">
        <v>180</v>
      </c>
      <c r="J11">
        <v>200</v>
      </c>
      <c r="K11" t="s">
        <v>97</v>
      </c>
      <c r="L11" t="s">
        <v>98</v>
      </c>
      <c r="M11" t="s">
        <v>225</v>
      </c>
      <c r="N11" t="s">
        <v>225</v>
      </c>
      <c r="O11">
        <v>5</v>
      </c>
      <c r="P11">
        <v>5</v>
      </c>
      <c r="Q11">
        <v>166665</v>
      </c>
    </row>
    <row r="12" spans="1:17" x14ac:dyDescent="0.3">
      <c r="A12" t="s">
        <v>226</v>
      </c>
      <c r="B12" t="s">
        <v>62</v>
      </c>
      <c r="C12" t="s">
        <v>18</v>
      </c>
      <c r="D12" t="s">
        <v>11</v>
      </c>
      <c r="E12" t="s">
        <v>214</v>
      </c>
      <c r="F12">
        <v>38709</v>
      </c>
      <c r="G12" t="s">
        <v>23</v>
      </c>
      <c r="H12" t="s">
        <v>227</v>
      </c>
      <c r="I12">
        <v>310</v>
      </c>
      <c r="J12">
        <v>330</v>
      </c>
      <c r="K12" t="s">
        <v>97</v>
      </c>
      <c r="L12" t="s">
        <v>98</v>
      </c>
      <c r="M12" t="s">
        <v>180</v>
      </c>
      <c r="N12" t="s">
        <v>180</v>
      </c>
      <c r="O12">
        <v>8</v>
      </c>
      <c r="P12">
        <v>8</v>
      </c>
      <c r="Q12">
        <v>309672</v>
      </c>
    </row>
    <row r="13" spans="1:17" x14ac:dyDescent="0.3">
      <c r="A13" t="s">
        <v>228</v>
      </c>
      <c r="B13" t="s">
        <v>62</v>
      </c>
      <c r="C13" t="s">
        <v>13</v>
      </c>
      <c r="D13" t="s">
        <v>11</v>
      </c>
      <c r="E13" t="s">
        <v>214</v>
      </c>
      <c r="F13">
        <v>30769</v>
      </c>
      <c r="G13" t="s">
        <v>28</v>
      </c>
      <c r="H13" t="s">
        <v>58</v>
      </c>
      <c r="I13">
        <v>195</v>
      </c>
      <c r="J13">
        <v>260</v>
      </c>
      <c r="K13" t="s">
        <v>93</v>
      </c>
      <c r="L13" t="s">
        <v>12</v>
      </c>
      <c r="M13" t="s">
        <v>165</v>
      </c>
      <c r="N13" t="s">
        <v>165</v>
      </c>
      <c r="O13">
        <v>19</v>
      </c>
      <c r="P13">
        <v>19</v>
      </c>
      <c r="Q13">
        <v>584611</v>
      </c>
    </row>
    <row r="14" spans="1:17" x14ac:dyDescent="0.3">
      <c r="A14" t="s">
        <v>229</v>
      </c>
      <c r="B14" t="s">
        <v>62</v>
      </c>
      <c r="C14" t="s">
        <v>13</v>
      </c>
      <c r="D14" t="s">
        <v>11</v>
      </c>
      <c r="E14" t="s">
        <v>214</v>
      </c>
      <c r="F14">
        <v>23076</v>
      </c>
      <c r="G14" t="s">
        <v>14</v>
      </c>
      <c r="H14" t="s">
        <v>230</v>
      </c>
      <c r="I14">
        <v>260</v>
      </c>
      <c r="J14">
        <v>320</v>
      </c>
      <c r="K14" t="s">
        <v>93</v>
      </c>
      <c r="L14" t="s">
        <v>12</v>
      </c>
      <c r="M14" t="s">
        <v>231</v>
      </c>
      <c r="N14" t="s">
        <v>231</v>
      </c>
      <c r="O14">
        <v>26</v>
      </c>
      <c r="P14">
        <v>26</v>
      </c>
      <c r="Q14">
        <v>599976</v>
      </c>
    </row>
    <row r="15" spans="1:17" x14ac:dyDescent="0.3">
      <c r="A15" t="s">
        <v>232</v>
      </c>
      <c r="B15" t="s">
        <v>62</v>
      </c>
      <c r="C15" t="s">
        <v>10</v>
      </c>
      <c r="D15" t="s">
        <v>11</v>
      </c>
      <c r="E15" t="s">
        <v>208</v>
      </c>
      <c r="F15">
        <v>30000</v>
      </c>
      <c r="G15" t="s">
        <v>233</v>
      </c>
      <c r="H15" t="s">
        <v>234</v>
      </c>
      <c r="I15">
        <v>200</v>
      </c>
      <c r="J15">
        <v>360</v>
      </c>
      <c r="K15" t="s">
        <v>97</v>
      </c>
      <c r="L15" t="s">
        <v>98</v>
      </c>
      <c r="M15" t="s">
        <v>235</v>
      </c>
      <c r="N15" t="s">
        <v>235</v>
      </c>
      <c r="O15">
        <v>5</v>
      </c>
      <c r="P15">
        <v>5</v>
      </c>
      <c r="Q15">
        <v>150000</v>
      </c>
    </row>
    <row r="16" spans="1:17" x14ac:dyDescent="0.3">
      <c r="A16" t="s">
        <v>236</v>
      </c>
      <c r="B16" t="s">
        <v>62</v>
      </c>
      <c r="C16" t="s">
        <v>13</v>
      </c>
      <c r="D16" t="s">
        <v>11</v>
      </c>
      <c r="E16" t="s">
        <v>237</v>
      </c>
      <c r="F16">
        <v>320000</v>
      </c>
      <c r="G16" t="s">
        <v>23</v>
      </c>
      <c r="H16" t="s">
        <v>100</v>
      </c>
      <c r="I16">
        <v>150</v>
      </c>
      <c r="J16">
        <v>200</v>
      </c>
      <c r="K16" t="s">
        <v>89</v>
      </c>
      <c r="L16" t="s">
        <v>81</v>
      </c>
      <c r="M16" t="s">
        <v>137</v>
      </c>
      <c r="N16" t="s">
        <v>137</v>
      </c>
      <c r="O16">
        <v>5</v>
      </c>
      <c r="P16">
        <v>4.5</v>
      </c>
      <c r="Q16">
        <v>1440000</v>
      </c>
    </row>
    <row r="17" spans="1:17" x14ac:dyDescent="0.3">
      <c r="A17" t="s">
        <v>238</v>
      </c>
      <c r="B17" t="s">
        <v>62</v>
      </c>
      <c r="C17" t="s">
        <v>13</v>
      </c>
      <c r="D17" t="s">
        <v>11</v>
      </c>
      <c r="E17" t="s">
        <v>239</v>
      </c>
      <c r="F17">
        <v>600000</v>
      </c>
      <c r="G17" t="s">
        <v>37</v>
      </c>
      <c r="H17" t="s">
        <v>43</v>
      </c>
      <c r="I17">
        <v>200</v>
      </c>
      <c r="J17">
        <v>300</v>
      </c>
      <c r="K17" t="s">
        <v>92</v>
      </c>
      <c r="L17" t="s">
        <v>36</v>
      </c>
      <c r="M17" t="s">
        <v>171</v>
      </c>
      <c r="N17" t="s">
        <v>171</v>
      </c>
      <c r="O17">
        <v>5</v>
      </c>
      <c r="P17">
        <v>5.5</v>
      </c>
      <c r="Q17">
        <v>3300000</v>
      </c>
    </row>
    <row r="18" spans="1:17" x14ac:dyDescent="0.3">
      <c r="A18" t="s">
        <v>240</v>
      </c>
      <c r="B18" t="s">
        <v>62</v>
      </c>
      <c r="C18" t="s">
        <v>13</v>
      </c>
      <c r="D18" t="s">
        <v>11</v>
      </c>
      <c r="E18" t="s">
        <v>237</v>
      </c>
      <c r="F18">
        <v>369230</v>
      </c>
      <c r="G18" t="s">
        <v>53</v>
      </c>
      <c r="H18" t="s">
        <v>56</v>
      </c>
      <c r="I18">
        <v>130</v>
      </c>
      <c r="J18">
        <v>200</v>
      </c>
      <c r="K18" t="s">
        <v>132</v>
      </c>
      <c r="L18" t="s">
        <v>51</v>
      </c>
      <c r="M18" t="s">
        <v>157</v>
      </c>
      <c r="N18" t="s">
        <v>157</v>
      </c>
      <c r="O18">
        <v>18.2</v>
      </c>
      <c r="P18">
        <v>18.2</v>
      </c>
      <c r="Q18">
        <v>6719986</v>
      </c>
    </row>
    <row r="19" spans="1:17" x14ac:dyDescent="0.3">
      <c r="A19" t="s">
        <v>241</v>
      </c>
      <c r="B19" t="s">
        <v>62</v>
      </c>
      <c r="C19" t="s">
        <v>18</v>
      </c>
      <c r="D19" t="s">
        <v>11</v>
      </c>
      <c r="E19" t="s">
        <v>237</v>
      </c>
      <c r="F19">
        <v>120000</v>
      </c>
      <c r="G19" t="s">
        <v>53</v>
      </c>
      <c r="H19" t="s">
        <v>55</v>
      </c>
      <c r="I19">
        <v>200</v>
      </c>
      <c r="J19">
        <v>300</v>
      </c>
      <c r="K19" t="s">
        <v>132</v>
      </c>
      <c r="L19" t="s">
        <v>51</v>
      </c>
      <c r="M19" t="s">
        <v>159</v>
      </c>
      <c r="N19" t="s">
        <v>159</v>
      </c>
      <c r="O19">
        <v>28</v>
      </c>
      <c r="P19">
        <v>28</v>
      </c>
      <c r="Q19">
        <v>3360000</v>
      </c>
    </row>
    <row r="20" spans="1:17" x14ac:dyDescent="0.3">
      <c r="A20" t="s">
        <v>242</v>
      </c>
      <c r="B20" t="s">
        <v>67</v>
      </c>
      <c r="C20" t="s">
        <v>13</v>
      </c>
      <c r="D20" t="s">
        <v>11</v>
      </c>
      <c r="E20" t="s">
        <v>212</v>
      </c>
      <c r="F20">
        <v>12000</v>
      </c>
      <c r="G20" t="s">
        <v>243</v>
      </c>
      <c r="H20" t="s">
        <v>244</v>
      </c>
      <c r="I20">
        <v>250</v>
      </c>
      <c r="J20">
        <v>370</v>
      </c>
      <c r="K20" t="s">
        <v>93</v>
      </c>
      <c r="L20" t="s">
        <v>12</v>
      </c>
      <c r="M20" t="s">
        <v>245</v>
      </c>
      <c r="N20" t="s">
        <v>245</v>
      </c>
      <c r="O20">
        <v>25</v>
      </c>
      <c r="P20">
        <v>25</v>
      </c>
      <c r="Q20">
        <v>300000</v>
      </c>
    </row>
    <row r="21" spans="1:17" x14ac:dyDescent="0.3">
      <c r="A21" t="s">
        <v>246</v>
      </c>
      <c r="B21" t="s">
        <v>67</v>
      </c>
      <c r="C21" t="s">
        <v>10</v>
      </c>
      <c r="D21" t="s">
        <v>11</v>
      </c>
      <c r="E21" t="s">
        <v>212</v>
      </c>
      <c r="F21">
        <v>40000</v>
      </c>
      <c r="G21" t="s">
        <v>85</v>
      </c>
      <c r="H21" t="s">
        <v>247</v>
      </c>
      <c r="I21">
        <v>300</v>
      </c>
      <c r="J21">
        <v>520</v>
      </c>
      <c r="K21" t="s">
        <v>97</v>
      </c>
      <c r="L21" t="s">
        <v>98</v>
      </c>
      <c r="M21" t="s">
        <v>149</v>
      </c>
      <c r="N21" t="s">
        <v>149</v>
      </c>
      <c r="O21">
        <v>8</v>
      </c>
      <c r="P21">
        <v>8</v>
      </c>
      <c r="Q21">
        <v>320000</v>
      </c>
    </row>
    <row r="22" spans="1:17" x14ac:dyDescent="0.3">
      <c r="A22" t="s">
        <v>248</v>
      </c>
      <c r="B22" t="s">
        <v>67</v>
      </c>
      <c r="C22" t="s">
        <v>13</v>
      </c>
      <c r="D22" t="s">
        <v>11</v>
      </c>
      <c r="E22" t="s">
        <v>212</v>
      </c>
      <c r="F22">
        <v>37500</v>
      </c>
      <c r="G22" t="s">
        <v>17</v>
      </c>
      <c r="H22" t="s">
        <v>192</v>
      </c>
      <c r="I22">
        <v>320</v>
      </c>
      <c r="J22">
        <v>430</v>
      </c>
      <c r="K22" t="s">
        <v>93</v>
      </c>
      <c r="L22" t="s">
        <v>12</v>
      </c>
      <c r="M22" t="s">
        <v>161</v>
      </c>
      <c r="N22" t="s">
        <v>161</v>
      </c>
      <c r="O22">
        <v>32</v>
      </c>
      <c r="P22">
        <v>32</v>
      </c>
      <c r="Q22">
        <v>1200000</v>
      </c>
    </row>
    <row r="23" spans="1:17" x14ac:dyDescent="0.3">
      <c r="A23" t="s">
        <v>249</v>
      </c>
      <c r="B23" t="s">
        <v>67</v>
      </c>
      <c r="C23" t="s">
        <v>13</v>
      </c>
      <c r="D23" t="s">
        <v>11</v>
      </c>
      <c r="E23" t="s">
        <v>214</v>
      </c>
      <c r="F23">
        <v>17142</v>
      </c>
      <c r="G23" t="s">
        <v>42</v>
      </c>
      <c r="H23" t="s">
        <v>250</v>
      </c>
      <c r="I23">
        <v>350</v>
      </c>
      <c r="J23">
        <v>400</v>
      </c>
      <c r="K23" t="s">
        <v>97</v>
      </c>
      <c r="L23" t="s">
        <v>98</v>
      </c>
      <c r="M23" t="s">
        <v>150</v>
      </c>
      <c r="N23" t="s">
        <v>150</v>
      </c>
      <c r="O23">
        <v>9</v>
      </c>
      <c r="P23">
        <v>9</v>
      </c>
      <c r="Q23">
        <v>154278</v>
      </c>
    </row>
    <row r="24" spans="1:17" x14ac:dyDescent="0.3">
      <c r="A24" t="s">
        <v>251</v>
      </c>
      <c r="B24" t="s">
        <v>67</v>
      </c>
      <c r="C24" t="s">
        <v>13</v>
      </c>
      <c r="D24" t="s">
        <v>11</v>
      </c>
      <c r="E24" t="s">
        <v>212</v>
      </c>
      <c r="F24">
        <v>27272</v>
      </c>
      <c r="G24" t="s">
        <v>17</v>
      </c>
      <c r="H24" t="s">
        <v>252</v>
      </c>
      <c r="I24">
        <v>220</v>
      </c>
      <c r="J24">
        <v>340</v>
      </c>
      <c r="K24" t="s">
        <v>97</v>
      </c>
      <c r="L24" t="s">
        <v>98</v>
      </c>
      <c r="M24" t="s">
        <v>253</v>
      </c>
      <c r="N24" t="s">
        <v>253</v>
      </c>
      <c r="O24">
        <v>6</v>
      </c>
      <c r="P24">
        <v>6</v>
      </c>
      <c r="Q24">
        <v>163632</v>
      </c>
    </row>
    <row r="25" spans="1:17" x14ac:dyDescent="0.3">
      <c r="A25" t="s">
        <v>254</v>
      </c>
      <c r="B25" t="s">
        <v>62</v>
      </c>
      <c r="C25" t="s">
        <v>13</v>
      </c>
      <c r="D25" t="s">
        <v>11</v>
      </c>
      <c r="E25" t="s">
        <v>208</v>
      </c>
      <c r="F25">
        <v>21428</v>
      </c>
      <c r="G25" t="s">
        <v>23</v>
      </c>
      <c r="H25" t="s">
        <v>110</v>
      </c>
      <c r="I25">
        <v>280</v>
      </c>
      <c r="J25">
        <v>380</v>
      </c>
      <c r="K25" t="s">
        <v>97</v>
      </c>
      <c r="L25" t="s">
        <v>98</v>
      </c>
      <c r="M25" t="s">
        <v>173</v>
      </c>
      <c r="N25" t="s">
        <v>173</v>
      </c>
      <c r="O25">
        <v>7</v>
      </c>
      <c r="P25">
        <v>7</v>
      </c>
      <c r="Q25">
        <v>149996</v>
      </c>
    </row>
    <row r="26" spans="1:17" x14ac:dyDescent="0.3">
      <c r="A26" t="s">
        <v>255</v>
      </c>
      <c r="B26" t="s">
        <v>67</v>
      </c>
      <c r="C26" t="s">
        <v>18</v>
      </c>
      <c r="D26" t="s">
        <v>11</v>
      </c>
      <c r="E26" t="s">
        <v>212</v>
      </c>
      <c r="F26">
        <v>13333</v>
      </c>
      <c r="G26" t="s">
        <v>103</v>
      </c>
      <c r="H26" t="s">
        <v>193</v>
      </c>
      <c r="I26">
        <v>350</v>
      </c>
      <c r="J26">
        <v>450</v>
      </c>
      <c r="K26" t="s">
        <v>94</v>
      </c>
      <c r="L26" t="s">
        <v>95</v>
      </c>
      <c r="M26" t="s">
        <v>256</v>
      </c>
      <c r="N26" t="s">
        <v>257</v>
      </c>
      <c r="O26">
        <v>12</v>
      </c>
      <c r="P26">
        <v>12</v>
      </c>
      <c r="Q26">
        <v>159996</v>
      </c>
    </row>
    <row r="27" spans="1:17" x14ac:dyDescent="0.3">
      <c r="A27" t="s">
        <v>258</v>
      </c>
      <c r="B27" t="s">
        <v>62</v>
      </c>
      <c r="C27" t="s">
        <v>13</v>
      </c>
      <c r="D27" t="s">
        <v>11</v>
      </c>
      <c r="E27" t="s">
        <v>208</v>
      </c>
      <c r="F27">
        <v>21428</v>
      </c>
      <c r="G27" t="s">
        <v>23</v>
      </c>
      <c r="H27" t="s">
        <v>110</v>
      </c>
      <c r="I27">
        <v>280</v>
      </c>
      <c r="J27">
        <v>380</v>
      </c>
      <c r="K27" t="s">
        <v>97</v>
      </c>
      <c r="L27" t="s">
        <v>98</v>
      </c>
      <c r="M27" t="s">
        <v>173</v>
      </c>
      <c r="N27" t="s">
        <v>173</v>
      </c>
      <c r="O27">
        <v>7</v>
      </c>
      <c r="P27">
        <v>7</v>
      </c>
      <c r="Q27">
        <v>149996</v>
      </c>
    </row>
    <row r="28" spans="1:17" x14ac:dyDescent="0.3">
      <c r="A28" t="s">
        <v>259</v>
      </c>
      <c r="B28" t="s">
        <v>67</v>
      </c>
      <c r="C28" t="s">
        <v>13</v>
      </c>
      <c r="D28" t="s">
        <v>11</v>
      </c>
      <c r="E28" t="s">
        <v>206</v>
      </c>
      <c r="F28">
        <v>360000</v>
      </c>
      <c r="G28" t="s">
        <v>20</v>
      </c>
      <c r="H28" t="s">
        <v>21</v>
      </c>
      <c r="I28">
        <v>200</v>
      </c>
      <c r="J28">
        <v>300</v>
      </c>
      <c r="K28" t="s">
        <v>93</v>
      </c>
      <c r="L28" t="s">
        <v>12</v>
      </c>
      <c r="M28" t="s">
        <v>260</v>
      </c>
      <c r="N28" t="s">
        <v>260</v>
      </c>
      <c r="O28">
        <v>20</v>
      </c>
      <c r="P28">
        <v>20</v>
      </c>
      <c r="Q28">
        <v>7200000</v>
      </c>
    </row>
    <row r="29" spans="1:17" x14ac:dyDescent="0.3">
      <c r="A29" t="s">
        <v>261</v>
      </c>
      <c r="B29" t="s">
        <v>128</v>
      </c>
      <c r="C29" t="s">
        <v>10</v>
      </c>
      <c r="D29" t="s">
        <v>11</v>
      </c>
      <c r="E29" t="s">
        <v>237</v>
      </c>
      <c r="F29">
        <v>133333</v>
      </c>
      <c r="G29" t="s">
        <v>26</v>
      </c>
      <c r="H29" t="s">
        <v>27</v>
      </c>
      <c r="I29">
        <v>180</v>
      </c>
      <c r="J29">
        <v>185</v>
      </c>
      <c r="K29" t="s">
        <v>96</v>
      </c>
      <c r="L29" t="s">
        <v>24</v>
      </c>
      <c r="M29" t="s">
        <v>138</v>
      </c>
      <c r="N29" t="s">
        <v>138</v>
      </c>
      <c r="O29">
        <v>5</v>
      </c>
      <c r="P29">
        <v>4</v>
      </c>
      <c r="Q29">
        <v>533332</v>
      </c>
    </row>
    <row r="30" spans="1:17" x14ac:dyDescent="0.3">
      <c r="A30" t="s">
        <v>262</v>
      </c>
      <c r="B30" t="s">
        <v>128</v>
      </c>
      <c r="C30" t="s">
        <v>13</v>
      </c>
      <c r="D30" t="s">
        <v>11</v>
      </c>
      <c r="E30" t="s">
        <v>204</v>
      </c>
      <c r="F30">
        <v>90000</v>
      </c>
      <c r="G30" t="s">
        <v>118</v>
      </c>
      <c r="H30" t="s">
        <v>263</v>
      </c>
      <c r="I30">
        <v>80</v>
      </c>
      <c r="J30">
        <v>150</v>
      </c>
      <c r="K30" t="s">
        <v>97</v>
      </c>
      <c r="L30" t="s">
        <v>98</v>
      </c>
      <c r="M30" t="s">
        <v>264</v>
      </c>
      <c r="N30" t="s">
        <v>264</v>
      </c>
      <c r="O30">
        <v>5</v>
      </c>
      <c r="P30">
        <v>5</v>
      </c>
      <c r="Q30">
        <v>450000</v>
      </c>
    </row>
    <row r="31" spans="1:17" x14ac:dyDescent="0.3">
      <c r="A31" t="s">
        <v>265</v>
      </c>
      <c r="B31" t="s">
        <v>128</v>
      </c>
      <c r="C31" t="s">
        <v>13</v>
      </c>
      <c r="D31" t="s">
        <v>11</v>
      </c>
      <c r="E31" t="s">
        <v>204</v>
      </c>
      <c r="F31">
        <v>48000</v>
      </c>
      <c r="G31" t="s">
        <v>118</v>
      </c>
      <c r="H31" t="s">
        <v>266</v>
      </c>
      <c r="I31">
        <v>100</v>
      </c>
      <c r="J31">
        <v>150</v>
      </c>
      <c r="K31" t="s">
        <v>97</v>
      </c>
      <c r="L31" t="s">
        <v>98</v>
      </c>
      <c r="M31" t="s">
        <v>267</v>
      </c>
      <c r="N31" t="s">
        <v>267</v>
      </c>
      <c r="O31">
        <v>5</v>
      </c>
      <c r="P31">
        <v>5</v>
      </c>
      <c r="Q31">
        <v>240000</v>
      </c>
    </row>
    <row r="32" spans="1:17" x14ac:dyDescent="0.3">
      <c r="A32" t="s">
        <v>268</v>
      </c>
      <c r="B32" t="s">
        <v>128</v>
      </c>
      <c r="C32" t="s">
        <v>13</v>
      </c>
      <c r="D32" t="s">
        <v>11</v>
      </c>
      <c r="E32" t="s">
        <v>237</v>
      </c>
      <c r="F32">
        <v>57142</v>
      </c>
      <c r="G32" t="s">
        <v>269</v>
      </c>
      <c r="H32" t="s">
        <v>270</v>
      </c>
      <c r="I32">
        <v>105</v>
      </c>
      <c r="J32">
        <v>290</v>
      </c>
      <c r="K32" t="s">
        <v>97</v>
      </c>
      <c r="L32" t="s">
        <v>98</v>
      </c>
      <c r="M32" t="s">
        <v>271</v>
      </c>
      <c r="N32" t="s">
        <v>271</v>
      </c>
      <c r="O32">
        <v>5</v>
      </c>
      <c r="P32">
        <v>5</v>
      </c>
      <c r="Q32">
        <v>285710</v>
      </c>
    </row>
    <row r="33" spans="1:17" x14ac:dyDescent="0.3">
      <c r="A33" t="s">
        <v>272</v>
      </c>
      <c r="B33" t="s">
        <v>128</v>
      </c>
      <c r="C33" t="s">
        <v>13</v>
      </c>
      <c r="D33" t="s">
        <v>11</v>
      </c>
      <c r="E33" t="s">
        <v>237</v>
      </c>
      <c r="F33">
        <v>20000</v>
      </c>
      <c r="G33" t="s">
        <v>112</v>
      </c>
      <c r="H33" t="s">
        <v>127</v>
      </c>
      <c r="I33">
        <v>300</v>
      </c>
      <c r="J33">
        <v>320</v>
      </c>
      <c r="K33" t="s">
        <v>97</v>
      </c>
      <c r="L33" t="s">
        <v>98</v>
      </c>
      <c r="M33" t="s">
        <v>189</v>
      </c>
      <c r="N33" t="s">
        <v>189</v>
      </c>
      <c r="O33">
        <v>8</v>
      </c>
      <c r="P33">
        <v>8</v>
      </c>
      <c r="Q33">
        <v>160000</v>
      </c>
    </row>
    <row r="34" spans="1:17" x14ac:dyDescent="0.3">
      <c r="A34" t="s">
        <v>273</v>
      </c>
      <c r="B34" t="s">
        <v>128</v>
      </c>
      <c r="C34" t="s">
        <v>18</v>
      </c>
      <c r="D34" t="s">
        <v>11</v>
      </c>
      <c r="E34" t="s">
        <v>237</v>
      </c>
      <c r="F34">
        <v>48000</v>
      </c>
      <c r="G34" t="s">
        <v>116</v>
      </c>
      <c r="H34" t="s">
        <v>117</v>
      </c>
      <c r="I34">
        <v>250</v>
      </c>
      <c r="J34">
        <v>305</v>
      </c>
      <c r="K34" t="s">
        <v>97</v>
      </c>
      <c r="L34" t="s">
        <v>98</v>
      </c>
      <c r="M34" t="s">
        <v>146</v>
      </c>
      <c r="N34" t="s">
        <v>146</v>
      </c>
      <c r="O34">
        <v>7</v>
      </c>
      <c r="P34">
        <v>7</v>
      </c>
      <c r="Q34">
        <v>336000</v>
      </c>
    </row>
    <row r="35" spans="1:17" x14ac:dyDescent="0.3">
      <c r="A35" t="s">
        <v>274</v>
      </c>
      <c r="B35" t="s">
        <v>128</v>
      </c>
      <c r="C35" t="s">
        <v>13</v>
      </c>
      <c r="D35" t="s">
        <v>11</v>
      </c>
      <c r="E35" t="s">
        <v>237</v>
      </c>
      <c r="F35">
        <v>40000</v>
      </c>
      <c r="G35" t="s">
        <v>121</v>
      </c>
      <c r="H35" t="s">
        <v>122</v>
      </c>
      <c r="I35">
        <v>300</v>
      </c>
      <c r="J35">
        <v>405</v>
      </c>
      <c r="K35" t="s">
        <v>97</v>
      </c>
      <c r="L35" t="s">
        <v>98</v>
      </c>
      <c r="M35" t="s">
        <v>145</v>
      </c>
      <c r="N35" t="s">
        <v>145</v>
      </c>
      <c r="O35">
        <v>8</v>
      </c>
      <c r="P35">
        <v>8</v>
      </c>
      <c r="Q35">
        <v>320000</v>
      </c>
    </row>
    <row r="36" spans="1:17" x14ac:dyDescent="0.3">
      <c r="A36" t="s">
        <v>275</v>
      </c>
      <c r="B36" t="s">
        <v>128</v>
      </c>
      <c r="C36" t="s">
        <v>18</v>
      </c>
      <c r="D36" t="s">
        <v>11</v>
      </c>
      <c r="E36" t="s">
        <v>212</v>
      </c>
      <c r="F36">
        <v>21428</v>
      </c>
      <c r="G36" t="s">
        <v>17</v>
      </c>
      <c r="H36" t="s">
        <v>38</v>
      </c>
      <c r="I36">
        <v>280</v>
      </c>
      <c r="J36">
        <v>380</v>
      </c>
      <c r="K36" t="s">
        <v>97</v>
      </c>
      <c r="L36" t="s">
        <v>98</v>
      </c>
      <c r="M36" t="s">
        <v>177</v>
      </c>
      <c r="N36" t="s">
        <v>177</v>
      </c>
      <c r="O36">
        <v>7</v>
      </c>
      <c r="P36">
        <v>7</v>
      </c>
      <c r="Q36">
        <v>149996</v>
      </c>
    </row>
    <row r="37" spans="1:17" x14ac:dyDescent="0.3">
      <c r="A37" t="s">
        <v>276</v>
      </c>
      <c r="B37" t="s">
        <v>128</v>
      </c>
      <c r="C37" t="s">
        <v>13</v>
      </c>
      <c r="D37" t="s">
        <v>11</v>
      </c>
      <c r="E37" t="s">
        <v>237</v>
      </c>
      <c r="F37">
        <v>8571</v>
      </c>
      <c r="G37" t="s">
        <v>23</v>
      </c>
      <c r="H37" t="s">
        <v>123</v>
      </c>
      <c r="I37">
        <v>270</v>
      </c>
      <c r="J37">
        <v>700</v>
      </c>
      <c r="K37" t="s">
        <v>94</v>
      </c>
      <c r="L37" t="s">
        <v>95</v>
      </c>
      <c r="M37" t="s">
        <v>169</v>
      </c>
      <c r="N37" t="s">
        <v>197</v>
      </c>
      <c r="O37">
        <v>16</v>
      </c>
      <c r="P37">
        <v>16</v>
      </c>
      <c r="Q37">
        <v>137136</v>
      </c>
    </row>
    <row r="38" spans="1:17" x14ac:dyDescent="0.3">
      <c r="A38" t="s">
        <v>277</v>
      </c>
      <c r="B38" t="s">
        <v>128</v>
      </c>
      <c r="C38" t="s">
        <v>10</v>
      </c>
      <c r="D38" t="s">
        <v>11</v>
      </c>
      <c r="E38" t="s">
        <v>278</v>
      </c>
      <c r="F38">
        <v>1200000</v>
      </c>
      <c r="G38" t="s">
        <v>23</v>
      </c>
      <c r="H38" t="s">
        <v>102</v>
      </c>
      <c r="I38">
        <v>100</v>
      </c>
      <c r="J38">
        <v>150</v>
      </c>
      <c r="K38" t="s">
        <v>89</v>
      </c>
      <c r="L38" t="s">
        <v>81</v>
      </c>
      <c r="M38" t="s">
        <v>136</v>
      </c>
      <c r="N38" t="s">
        <v>136</v>
      </c>
      <c r="O38">
        <v>5</v>
      </c>
      <c r="P38">
        <v>4.5</v>
      </c>
      <c r="Q38">
        <v>5400000</v>
      </c>
    </row>
    <row r="39" spans="1:17" x14ac:dyDescent="0.3">
      <c r="A39" t="s">
        <v>279</v>
      </c>
      <c r="B39" t="s">
        <v>128</v>
      </c>
      <c r="C39" t="s">
        <v>13</v>
      </c>
      <c r="D39" t="s">
        <v>11</v>
      </c>
      <c r="E39" t="s">
        <v>280</v>
      </c>
      <c r="F39">
        <v>666666</v>
      </c>
      <c r="G39" t="s">
        <v>23</v>
      </c>
      <c r="H39" t="s">
        <v>49</v>
      </c>
      <c r="I39">
        <v>180</v>
      </c>
      <c r="J39">
        <v>280</v>
      </c>
      <c r="K39" t="s">
        <v>92</v>
      </c>
      <c r="L39" t="s">
        <v>36</v>
      </c>
      <c r="M39" t="s">
        <v>140</v>
      </c>
      <c r="N39" t="s">
        <v>140</v>
      </c>
      <c r="O39">
        <v>5</v>
      </c>
      <c r="P39">
        <v>5.5</v>
      </c>
      <c r="Q39">
        <v>3666663</v>
      </c>
    </row>
    <row r="40" spans="1:17" x14ac:dyDescent="0.3">
      <c r="A40" t="s">
        <v>281</v>
      </c>
      <c r="B40" t="s">
        <v>128</v>
      </c>
      <c r="C40" t="s">
        <v>13</v>
      </c>
      <c r="D40" t="s">
        <v>11</v>
      </c>
      <c r="E40" t="s">
        <v>206</v>
      </c>
      <c r="F40">
        <v>180000</v>
      </c>
      <c r="G40" t="s">
        <v>37</v>
      </c>
      <c r="H40" t="s">
        <v>65</v>
      </c>
      <c r="I40">
        <v>200</v>
      </c>
      <c r="J40">
        <v>450</v>
      </c>
      <c r="K40" t="s">
        <v>92</v>
      </c>
      <c r="L40" t="s">
        <v>36</v>
      </c>
      <c r="M40" t="s">
        <v>171</v>
      </c>
      <c r="N40" t="s">
        <v>171</v>
      </c>
      <c r="O40">
        <v>5</v>
      </c>
      <c r="P40">
        <v>5.5</v>
      </c>
      <c r="Q40">
        <v>990000</v>
      </c>
    </row>
    <row r="41" spans="1:17" x14ac:dyDescent="0.3">
      <c r="A41" t="s">
        <v>282</v>
      </c>
      <c r="B41" t="s">
        <v>128</v>
      </c>
      <c r="C41" t="s">
        <v>13</v>
      </c>
      <c r="D41" t="s">
        <v>11</v>
      </c>
      <c r="E41" t="s">
        <v>283</v>
      </c>
      <c r="F41">
        <v>313043</v>
      </c>
      <c r="G41" t="s">
        <v>23</v>
      </c>
      <c r="H41" t="s">
        <v>39</v>
      </c>
      <c r="I41">
        <v>230</v>
      </c>
      <c r="J41">
        <v>320</v>
      </c>
      <c r="K41" t="s">
        <v>92</v>
      </c>
      <c r="L41" t="s">
        <v>36</v>
      </c>
      <c r="M41" t="s">
        <v>141</v>
      </c>
      <c r="N41" t="s">
        <v>141</v>
      </c>
      <c r="O41">
        <v>6</v>
      </c>
      <c r="P41">
        <v>6.5</v>
      </c>
      <c r="Q41">
        <v>2034779.5</v>
      </c>
    </row>
    <row r="42" spans="1:17" x14ac:dyDescent="0.3">
      <c r="A42" t="s">
        <v>284</v>
      </c>
      <c r="B42" t="s">
        <v>128</v>
      </c>
      <c r="C42" t="s">
        <v>13</v>
      </c>
      <c r="D42" t="s">
        <v>11</v>
      </c>
      <c r="E42" t="s">
        <v>280</v>
      </c>
      <c r="F42">
        <v>480000</v>
      </c>
      <c r="G42" t="s">
        <v>34</v>
      </c>
      <c r="H42" t="s">
        <v>35</v>
      </c>
      <c r="I42">
        <v>250</v>
      </c>
      <c r="J42">
        <v>350</v>
      </c>
      <c r="K42" t="s">
        <v>92</v>
      </c>
      <c r="L42" t="s">
        <v>36</v>
      </c>
      <c r="M42" t="s">
        <v>170</v>
      </c>
      <c r="N42" t="s">
        <v>170</v>
      </c>
      <c r="O42">
        <v>7</v>
      </c>
      <c r="P42">
        <v>7.5</v>
      </c>
      <c r="Q42">
        <v>3600000</v>
      </c>
    </row>
    <row r="43" spans="1:17" x14ac:dyDescent="0.3">
      <c r="A43" t="s">
        <v>285</v>
      </c>
      <c r="B43" t="s">
        <v>128</v>
      </c>
      <c r="C43" t="s">
        <v>13</v>
      </c>
      <c r="D43" t="s">
        <v>11</v>
      </c>
      <c r="E43" t="s">
        <v>286</v>
      </c>
      <c r="F43">
        <v>144000</v>
      </c>
      <c r="G43" t="s">
        <v>23</v>
      </c>
      <c r="H43" t="s">
        <v>50</v>
      </c>
      <c r="I43">
        <v>250</v>
      </c>
      <c r="J43">
        <v>400</v>
      </c>
      <c r="K43" t="s">
        <v>92</v>
      </c>
      <c r="L43" t="s">
        <v>36</v>
      </c>
      <c r="M43" t="s">
        <v>142</v>
      </c>
      <c r="N43" t="s">
        <v>142</v>
      </c>
      <c r="O43">
        <v>7</v>
      </c>
      <c r="P43">
        <v>7.5</v>
      </c>
      <c r="Q43">
        <v>1080000</v>
      </c>
    </row>
    <row r="44" spans="1:17" x14ac:dyDescent="0.3">
      <c r="A44" t="s">
        <v>287</v>
      </c>
      <c r="B44" t="s">
        <v>128</v>
      </c>
      <c r="C44" t="s">
        <v>18</v>
      </c>
      <c r="D44" t="s">
        <v>11</v>
      </c>
      <c r="E44" t="s">
        <v>286</v>
      </c>
      <c r="F44">
        <v>192000</v>
      </c>
      <c r="G44" t="s">
        <v>23</v>
      </c>
      <c r="H44" t="s">
        <v>44</v>
      </c>
      <c r="I44">
        <v>250</v>
      </c>
      <c r="J44">
        <v>450</v>
      </c>
      <c r="K44" t="s">
        <v>92</v>
      </c>
      <c r="L44" t="s">
        <v>36</v>
      </c>
      <c r="M44" t="s">
        <v>142</v>
      </c>
      <c r="N44" t="s">
        <v>142</v>
      </c>
      <c r="O44">
        <v>7</v>
      </c>
      <c r="P44">
        <v>7.5</v>
      </c>
      <c r="Q44">
        <v>1440000</v>
      </c>
    </row>
    <row r="45" spans="1:17" x14ac:dyDescent="0.3">
      <c r="A45" t="s">
        <v>288</v>
      </c>
      <c r="B45" t="s">
        <v>128</v>
      </c>
      <c r="C45" t="s">
        <v>18</v>
      </c>
      <c r="D45" t="s">
        <v>11</v>
      </c>
      <c r="E45" t="s">
        <v>280</v>
      </c>
      <c r="F45">
        <v>428571</v>
      </c>
      <c r="G45" t="s">
        <v>37</v>
      </c>
      <c r="H45" t="s">
        <v>38</v>
      </c>
      <c r="I45">
        <v>280</v>
      </c>
      <c r="J45">
        <v>380</v>
      </c>
      <c r="K45" t="s">
        <v>92</v>
      </c>
      <c r="L45" t="s">
        <v>36</v>
      </c>
      <c r="M45" t="s">
        <v>181</v>
      </c>
      <c r="N45" t="s">
        <v>181</v>
      </c>
      <c r="O45">
        <v>7</v>
      </c>
      <c r="P45">
        <v>7.5</v>
      </c>
      <c r="Q45">
        <v>3214282.5</v>
      </c>
    </row>
    <row r="46" spans="1:17" x14ac:dyDescent="0.3">
      <c r="A46" t="s">
        <v>289</v>
      </c>
      <c r="B46" t="s">
        <v>128</v>
      </c>
      <c r="C46" t="s">
        <v>18</v>
      </c>
      <c r="D46" t="s">
        <v>11</v>
      </c>
      <c r="E46" t="s">
        <v>280</v>
      </c>
      <c r="F46">
        <v>375000</v>
      </c>
      <c r="G46" t="s">
        <v>23</v>
      </c>
      <c r="H46" t="s">
        <v>70</v>
      </c>
      <c r="I46">
        <v>320</v>
      </c>
      <c r="J46">
        <v>400</v>
      </c>
      <c r="K46" t="s">
        <v>92</v>
      </c>
      <c r="L46" t="s">
        <v>36</v>
      </c>
      <c r="M46" t="s">
        <v>186</v>
      </c>
      <c r="N46" t="s">
        <v>186</v>
      </c>
      <c r="O46">
        <v>8</v>
      </c>
      <c r="P46">
        <v>8.5</v>
      </c>
      <c r="Q46">
        <v>3187500</v>
      </c>
    </row>
    <row r="47" spans="1:17" x14ac:dyDescent="0.3">
      <c r="A47" t="s">
        <v>290</v>
      </c>
      <c r="B47" t="s">
        <v>128</v>
      </c>
      <c r="C47" t="s">
        <v>10</v>
      </c>
      <c r="D47" t="s">
        <v>11</v>
      </c>
      <c r="E47" t="s">
        <v>204</v>
      </c>
      <c r="F47">
        <v>68571</v>
      </c>
      <c r="G47" t="s">
        <v>37</v>
      </c>
      <c r="H47" t="s">
        <v>68</v>
      </c>
      <c r="I47">
        <v>350</v>
      </c>
      <c r="J47">
        <v>600</v>
      </c>
      <c r="K47" t="s">
        <v>92</v>
      </c>
      <c r="L47" t="s">
        <v>36</v>
      </c>
      <c r="M47" t="s">
        <v>190</v>
      </c>
      <c r="N47" t="s">
        <v>190</v>
      </c>
      <c r="O47">
        <v>9</v>
      </c>
      <c r="P47">
        <v>9.5</v>
      </c>
      <c r="Q47">
        <v>651424.5</v>
      </c>
    </row>
    <row r="48" spans="1:17" x14ac:dyDescent="0.3">
      <c r="A48" t="s">
        <v>291</v>
      </c>
      <c r="B48" t="s">
        <v>128</v>
      </c>
      <c r="C48" t="s">
        <v>18</v>
      </c>
      <c r="D48" t="s">
        <v>11</v>
      </c>
      <c r="E48" t="s">
        <v>286</v>
      </c>
      <c r="F48">
        <v>55384</v>
      </c>
      <c r="G48" t="s">
        <v>23</v>
      </c>
      <c r="H48" t="s">
        <v>126</v>
      </c>
      <c r="I48">
        <v>350</v>
      </c>
      <c r="J48">
        <v>650</v>
      </c>
      <c r="K48" t="s">
        <v>90</v>
      </c>
      <c r="L48" t="s">
        <v>91</v>
      </c>
      <c r="M48" t="s">
        <v>191</v>
      </c>
      <c r="N48" t="s">
        <v>191</v>
      </c>
      <c r="O48">
        <v>14</v>
      </c>
      <c r="P48">
        <v>14.5</v>
      </c>
      <c r="Q48">
        <v>803068</v>
      </c>
    </row>
    <row r="49" spans="1:17" x14ac:dyDescent="0.3">
      <c r="A49" t="s">
        <v>292</v>
      </c>
      <c r="B49" t="s">
        <v>128</v>
      </c>
      <c r="C49" t="s">
        <v>10</v>
      </c>
      <c r="D49" t="s">
        <v>11</v>
      </c>
      <c r="E49" t="s">
        <v>293</v>
      </c>
      <c r="F49">
        <v>300000</v>
      </c>
      <c r="G49" t="s">
        <v>23</v>
      </c>
      <c r="H49" t="s">
        <v>40</v>
      </c>
      <c r="I49">
        <v>400</v>
      </c>
      <c r="J49">
        <v>500</v>
      </c>
      <c r="K49" t="s">
        <v>92</v>
      </c>
      <c r="L49" t="s">
        <v>36</v>
      </c>
      <c r="M49" t="s">
        <v>143</v>
      </c>
      <c r="N49" t="s">
        <v>143</v>
      </c>
      <c r="O49">
        <v>10</v>
      </c>
      <c r="P49">
        <v>10.5</v>
      </c>
      <c r="Q49">
        <v>3150000</v>
      </c>
    </row>
    <row r="50" spans="1:17" x14ac:dyDescent="0.3">
      <c r="A50" t="s">
        <v>294</v>
      </c>
      <c r="B50" t="s">
        <v>128</v>
      </c>
      <c r="C50" t="s">
        <v>10</v>
      </c>
      <c r="D50" t="s">
        <v>11</v>
      </c>
      <c r="E50" t="s">
        <v>278</v>
      </c>
      <c r="F50">
        <v>110769</v>
      </c>
      <c r="G50" t="s">
        <v>23</v>
      </c>
      <c r="H50" t="s">
        <v>88</v>
      </c>
      <c r="I50">
        <v>500</v>
      </c>
      <c r="J50">
        <v>650</v>
      </c>
      <c r="K50" t="s">
        <v>90</v>
      </c>
      <c r="L50" t="s">
        <v>91</v>
      </c>
      <c r="M50" t="s">
        <v>144</v>
      </c>
      <c r="N50" t="s">
        <v>144</v>
      </c>
      <c r="O50">
        <v>14</v>
      </c>
      <c r="P50">
        <v>14.5</v>
      </c>
      <c r="Q50">
        <v>1606150.5</v>
      </c>
    </row>
    <row r="51" spans="1:17" x14ac:dyDescent="0.3">
      <c r="A51" t="s">
        <v>295</v>
      </c>
      <c r="B51" t="s">
        <v>128</v>
      </c>
      <c r="C51" t="s">
        <v>13</v>
      </c>
      <c r="D51" t="s">
        <v>11</v>
      </c>
      <c r="E51" t="s">
        <v>286</v>
      </c>
      <c r="F51">
        <v>120000</v>
      </c>
      <c r="G51" t="s">
        <v>42</v>
      </c>
      <c r="H51" t="s">
        <v>43</v>
      </c>
      <c r="I51">
        <v>200</v>
      </c>
      <c r="J51">
        <v>300</v>
      </c>
      <c r="K51" t="s">
        <v>92</v>
      </c>
      <c r="L51" t="s">
        <v>36</v>
      </c>
      <c r="M51" t="s">
        <v>139</v>
      </c>
      <c r="N51" t="s">
        <v>139</v>
      </c>
      <c r="O51">
        <v>5</v>
      </c>
      <c r="P51">
        <v>5.5</v>
      </c>
      <c r="Q51">
        <v>660000</v>
      </c>
    </row>
    <row r="52" spans="1:17" x14ac:dyDescent="0.3">
      <c r="A52" t="s">
        <v>296</v>
      </c>
      <c r="B52" t="s">
        <v>128</v>
      </c>
      <c r="C52" t="s">
        <v>18</v>
      </c>
      <c r="D52" t="s">
        <v>11</v>
      </c>
      <c r="E52" t="s">
        <v>210</v>
      </c>
      <c r="F52">
        <v>144000</v>
      </c>
      <c r="G52" t="s">
        <v>45</v>
      </c>
      <c r="H52" t="s">
        <v>46</v>
      </c>
      <c r="I52">
        <v>250</v>
      </c>
      <c r="J52">
        <v>350</v>
      </c>
      <c r="K52" t="s">
        <v>92</v>
      </c>
      <c r="L52" t="s">
        <v>36</v>
      </c>
      <c r="M52" t="s">
        <v>297</v>
      </c>
      <c r="N52" t="s">
        <v>297</v>
      </c>
      <c r="O52">
        <v>7</v>
      </c>
      <c r="P52">
        <v>7.5</v>
      </c>
      <c r="Q52">
        <v>1080000</v>
      </c>
    </row>
    <row r="53" spans="1:17" x14ac:dyDescent="0.3">
      <c r="A53" t="s">
        <v>298</v>
      </c>
      <c r="B53" t="s">
        <v>128</v>
      </c>
      <c r="C53" t="s">
        <v>18</v>
      </c>
      <c r="D53" t="s">
        <v>11</v>
      </c>
      <c r="E53" t="s">
        <v>286</v>
      </c>
      <c r="F53">
        <v>96000</v>
      </c>
      <c r="G53" t="s">
        <v>47</v>
      </c>
      <c r="H53" t="s">
        <v>48</v>
      </c>
      <c r="I53">
        <v>250</v>
      </c>
      <c r="J53">
        <v>450</v>
      </c>
      <c r="K53" t="s">
        <v>92</v>
      </c>
      <c r="L53" t="s">
        <v>36</v>
      </c>
      <c r="M53" t="s">
        <v>299</v>
      </c>
      <c r="N53" t="s">
        <v>299</v>
      </c>
      <c r="O53">
        <v>7</v>
      </c>
      <c r="P53">
        <v>7.5</v>
      </c>
      <c r="Q53">
        <v>720000</v>
      </c>
    </row>
    <row r="54" spans="1:17" x14ac:dyDescent="0.3">
      <c r="A54" t="s">
        <v>300</v>
      </c>
      <c r="B54" t="s">
        <v>128</v>
      </c>
      <c r="C54" t="s">
        <v>10</v>
      </c>
      <c r="D54" t="s">
        <v>11</v>
      </c>
      <c r="E54" t="s">
        <v>210</v>
      </c>
      <c r="F54">
        <v>90000</v>
      </c>
      <c r="G54" t="s">
        <v>42</v>
      </c>
      <c r="H54" t="s">
        <v>41</v>
      </c>
      <c r="I54">
        <v>400</v>
      </c>
      <c r="J54">
        <v>600</v>
      </c>
      <c r="K54" t="s">
        <v>92</v>
      </c>
      <c r="L54" t="s">
        <v>36</v>
      </c>
      <c r="M54" t="s">
        <v>301</v>
      </c>
      <c r="N54" t="s">
        <v>301</v>
      </c>
      <c r="O54">
        <v>10</v>
      </c>
      <c r="P54">
        <v>10.5</v>
      </c>
      <c r="Q54">
        <v>945000</v>
      </c>
    </row>
    <row r="55" spans="1:17" x14ac:dyDescent="0.3">
      <c r="A55" t="s">
        <v>458</v>
      </c>
      <c r="B55" t="s">
        <v>128</v>
      </c>
      <c r="C55" t="s">
        <v>10</v>
      </c>
      <c r="D55" t="s">
        <v>11</v>
      </c>
      <c r="E55" t="s">
        <v>206</v>
      </c>
      <c r="F55">
        <v>180000</v>
      </c>
      <c r="G55" t="s">
        <v>459</v>
      </c>
      <c r="H55" t="s">
        <v>460</v>
      </c>
      <c r="I55">
        <v>200</v>
      </c>
      <c r="J55">
        <v>300</v>
      </c>
      <c r="K55" t="s">
        <v>93</v>
      </c>
      <c r="L55" t="s">
        <v>12</v>
      </c>
      <c r="M55" t="s">
        <v>461</v>
      </c>
      <c r="N55" t="s">
        <v>461</v>
      </c>
      <c r="O55">
        <v>20</v>
      </c>
      <c r="P55">
        <v>20</v>
      </c>
      <c r="Q55">
        <v>3600000</v>
      </c>
    </row>
    <row r="56" spans="1:17" x14ac:dyDescent="0.3">
      <c r="A56" t="s">
        <v>302</v>
      </c>
      <c r="B56" t="s">
        <v>128</v>
      </c>
      <c r="C56" t="s">
        <v>13</v>
      </c>
      <c r="D56" t="s">
        <v>11</v>
      </c>
      <c r="E56" t="s">
        <v>206</v>
      </c>
      <c r="F56">
        <v>240000</v>
      </c>
      <c r="G56" t="s">
        <v>303</v>
      </c>
      <c r="H56" t="s">
        <v>304</v>
      </c>
      <c r="I56">
        <v>100</v>
      </c>
      <c r="J56">
        <v>170</v>
      </c>
      <c r="K56" t="s">
        <v>132</v>
      </c>
      <c r="L56" t="s">
        <v>51</v>
      </c>
      <c r="M56" t="s">
        <v>305</v>
      </c>
      <c r="N56" t="s">
        <v>305</v>
      </c>
      <c r="O56">
        <v>14</v>
      </c>
      <c r="P56">
        <v>14</v>
      </c>
      <c r="Q56">
        <v>3360000</v>
      </c>
    </row>
    <row r="57" spans="1:17" x14ac:dyDescent="0.3">
      <c r="A57" t="s">
        <v>306</v>
      </c>
      <c r="B57" t="s">
        <v>128</v>
      </c>
      <c r="C57" t="s">
        <v>13</v>
      </c>
      <c r="D57" t="s">
        <v>11</v>
      </c>
      <c r="E57" t="s">
        <v>210</v>
      </c>
      <c r="F57">
        <v>160000</v>
      </c>
      <c r="G57" t="s">
        <v>307</v>
      </c>
      <c r="H57" t="s">
        <v>52</v>
      </c>
      <c r="I57">
        <v>150</v>
      </c>
      <c r="J57">
        <v>220</v>
      </c>
      <c r="K57" t="s">
        <v>132</v>
      </c>
      <c r="L57" t="s">
        <v>51</v>
      </c>
      <c r="M57" t="s">
        <v>167</v>
      </c>
      <c r="N57" t="s">
        <v>167</v>
      </c>
      <c r="O57">
        <v>21</v>
      </c>
      <c r="P57">
        <v>21</v>
      </c>
      <c r="Q57">
        <v>3360000</v>
      </c>
    </row>
    <row r="58" spans="1:17" x14ac:dyDescent="0.3">
      <c r="A58" t="s">
        <v>308</v>
      </c>
      <c r="B58" t="s">
        <v>128</v>
      </c>
      <c r="C58" t="s">
        <v>13</v>
      </c>
      <c r="D58" t="s">
        <v>11</v>
      </c>
      <c r="E58" t="s">
        <v>210</v>
      </c>
      <c r="F58">
        <v>133333</v>
      </c>
      <c r="G58" t="s">
        <v>307</v>
      </c>
      <c r="H58" t="s">
        <v>54</v>
      </c>
      <c r="I58">
        <v>180</v>
      </c>
      <c r="J58">
        <v>260</v>
      </c>
      <c r="K58" t="s">
        <v>132</v>
      </c>
      <c r="L58" t="s">
        <v>51</v>
      </c>
      <c r="M58" t="s">
        <v>309</v>
      </c>
      <c r="N58" t="s">
        <v>309</v>
      </c>
      <c r="O58">
        <v>25.2</v>
      </c>
      <c r="P58">
        <v>25.2</v>
      </c>
      <c r="Q58">
        <v>3359991.6</v>
      </c>
    </row>
    <row r="59" spans="1:17" x14ac:dyDescent="0.3">
      <c r="A59" t="s">
        <v>310</v>
      </c>
      <c r="B59" t="s">
        <v>128</v>
      </c>
      <c r="C59" t="s">
        <v>18</v>
      </c>
      <c r="D59" t="s">
        <v>11</v>
      </c>
      <c r="E59" t="s">
        <v>206</v>
      </c>
      <c r="F59">
        <v>184615</v>
      </c>
      <c r="G59" t="s">
        <v>303</v>
      </c>
      <c r="H59" t="s">
        <v>311</v>
      </c>
      <c r="I59">
        <v>130</v>
      </c>
      <c r="J59">
        <v>200</v>
      </c>
      <c r="K59" t="s">
        <v>132</v>
      </c>
      <c r="L59" t="s">
        <v>51</v>
      </c>
      <c r="M59" t="s">
        <v>312</v>
      </c>
      <c r="N59" t="s">
        <v>312</v>
      </c>
      <c r="O59">
        <v>18.2</v>
      </c>
      <c r="P59">
        <v>18.2</v>
      </c>
      <c r="Q59">
        <v>3359993</v>
      </c>
    </row>
    <row r="60" spans="1:17" x14ac:dyDescent="0.3">
      <c r="A60" t="s">
        <v>313</v>
      </c>
      <c r="B60" t="s">
        <v>128</v>
      </c>
      <c r="C60" t="s">
        <v>18</v>
      </c>
      <c r="D60" t="s">
        <v>11</v>
      </c>
      <c r="E60" t="s">
        <v>210</v>
      </c>
      <c r="F60">
        <v>120000</v>
      </c>
      <c r="G60" t="s">
        <v>314</v>
      </c>
      <c r="H60" t="s">
        <v>55</v>
      </c>
      <c r="I60">
        <v>200</v>
      </c>
      <c r="J60">
        <v>300</v>
      </c>
      <c r="K60" t="s">
        <v>132</v>
      </c>
      <c r="L60" t="s">
        <v>51</v>
      </c>
      <c r="M60" t="s">
        <v>315</v>
      </c>
      <c r="N60" t="s">
        <v>315</v>
      </c>
      <c r="O60">
        <v>28</v>
      </c>
      <c r="P60">
        <v>28</v>
      </c>
      <c r="Q60">
        <v>3360000</v>
      </c>
    </row>
    <row r="61" spans="1:17" x14ac:dyDescent="0.3">
      <c r="A61" t="s">
        <v>316</v>
      </c>
      <c r="B61" t="s">
        <v>183</v>
      </c>
      <c r="C61" t="s">
        <v>18</v>
      </c>
      <c r="D61" t="s">
        <v>11</v>
      </c>
      <c r="E61" t="s">
        <v>204</v>
      </c>
      <c r="F61">
        <v>10000</v>
      </c>
      <c r="G61" t="s">
        <v>130</v>
      </c>
      <c r="H61" t="s">
        <v>317</v>
      </c>
      <c r="I61">
        <v>300</v>
      </c>
      <c r="J61">
        <v>390</v>
      </c>
      <c r="K61" t="s">
        <v>93</v>
      </c>
      <c r="L61" t="s">
        <v>12</v>
      </c>
      <c r="M61" t="s">
        <v>318</v>
      </c>
      <c r="N61" t="s">
        <v>318</v>
      </c>
      <c r="O61">
        <v>7</v>
      </c>
      <c r="P61">
        <v>7</v>
      </c>
      <c r="Q61">
        <v>70000</v>
      </c>
    </row>
    <row r="62" spans="1:17" x14ac:dyDescent="0.3">
      <c r="A62" t="s">
        <v>319</v>
      </c>
      <c r="B62" t="s">
        <v>183</v>
      </c>
      <c r="C62" t="s">
        <v>18</v>
      </c>
      <c r="D62" t="s">
        <v>11</v>
      </c>
      <c r="E62" t="s">
        <v>237</v>
      </c>
      <c r="F62">
        <v>7200</v>
      </c>
      <c r="G62" t="s">
        <v>17</v>
      </c>
      <c r="H62" t="s">
        <v>105</v>
      </c>
      <c r="I62">
        <v>250</v>
      </c>
      <c r="J62">
        <v>320</v>
      </c>
      <c r="K62" t="s">
        <v>97</v>
      </c>
      <c r="L62" t="s">
        <v>98</v>
      </c>
      <c r="M62" t="s">
        <v>148</v>
      </c>
      <c r="N62" t="s">
        <v>148</v>
      </c>
      <c r="O62">
        <v>7</v>
      </c>
      <c r="P62">
        <v>7</v>
      </c>
      <c r="Q62">
        <v>50400</v>
      </c>
    </row>
    <row r="63" spans="1:17" x14ac:dyDescent="0.3">
      <c r="A63" t="s">
        <v>320</v>
      </c>
      <c r="B63" t="s">
        <v>183</v>
      </c>
      <c r="C63" t="s">
        <v>10</v>
      </c>
      <c r="D63" t="s">
        <v>11</v>
      </c>
      <c r="E63" t="s">
        <v>286</v>
      </c>
      <c r="F63">
        <v>20000</v>
      </c>
      <c r="G63" t="s">
        <v>129</v>
      </c>
      <c r="H63" t="s">
        <v>321</v>
      </c>
      <c r="I63">
        <v>300</v>
      </c>
      <c r="J63">
        <v>330</v>
      </c>
      <c r="K63" t="s">
        <v>97</v>
      </c>
      <c r="L63" t="s">
        <v>98</v>
      </c>
      <c r="M63" t="s">
        <v>322</v>
      </c>
      <c r="N63" t="s">
        <v>322</v>
      </c>
      <c r="O63">
        <v>8</v>
      </c>
      <c r="P63">
        <v>8</v>
      </c>
      <c r="Q63">
        <v>160000</v>
      </c>
    </row>
    <row r="64" spans="1:17" x14ac:dyDescent="0.3">
      <c r="A64" t="s">
        <v>323</v>
      </c>
      <c r="B64" t="s">
        <v>183</v>
      </c>
      <c r="C64" t="s">
        <v>13</v>
      </c>
      <c r="D64" t="s">
        <v>11</v>
      </c>
      <c r="E64" t="s">
        <v>204</v>
      </c>
      <c r="F64">
        <v>18181</v>
      </c>
      <c r="G64" t="s">
        <v>23</v>
      </c>
      <c r="H64" t="s">
        <v>324</v>
      </c>
      <c r="I64">
        <v>330</v>
      </c>
      <c r="J64">
        <v>220</v>
      </c>
      <c r="K64" t="s">
        <v>97</v>
      </c>
      <c r="L64" t="s">
        <v>98</v>
      </c>
      <c r="M64" t="s">
        <v>172</v>
      </c>
      <c r="N64" t="s">
        <v>172</v>
      </c>
      <c r="O64">
        <v>9</v>
      </c>
      <c r="P64">
        <v>9</v>
      </c>
      <c r="Q64">
        <v>163629</v>
      </c>
    </row>
    <row r="65" spans="1:17" x14ac:dyDescent="0.3">
      <c r="A65" t="s">
        <v>325</v>
      </c>
      <c r="B65" t="s">
        <v>183</v>
      </c>
      <c r="C65" t="s">
        <v>13</v>
      </c>
      <c r="D65" t="s">
        <v>11</v>
      </c>
      <c r="E65" t="s">
        <v>204</v>
      </c>
      <c r="F65">
        <v>24000</v>
      </c>
      <c r="G65" t="s">
        <v>28</v>
      </c>
      <c r="H65" t="s">
        <v>326</v>
      </c>
      <c r="I65">
        <v>250</v>
      </c>
      <c r="J65">
        <v>340</v>
      </c>
      <c r="K65" t="s">
        <v>93</v>
      </c>
      <c r="L65" t="s">
        <v>12</v>
      </c>
      <c r="M65" t="s">
        <v>166</v>
      </c>
      <c r="N65" t="s">
        <v>166</v>
      </c>
      <c r="O65">
        <v>25</v>
      </c>
      <c r="P65">
        <v>25</v>
      </c>
      <c r="Q65">
        <v>600000</v>
      </c>
    </row>
    <row r="66" spans="1:17" x14ac:dyDescent="0.3">
      <c r="A66" t="s">
        <v>327</v>
      </c>
      <c r="B66" t="s">
        <v>183</v>
      </c>
      <c r="C66" t="s">
        <v>13</v>
      </c>
      <c r="D66" t="s">
        <v>11</v>
      </c>
      <c r="E66" t="s">
        <v>237</v>
      </c>
      <c r="F66">
        <v>22222</v>
      </c>
      <c r="G66" t="s">
        <v>22</v>
      </c>
      <c r="H66" t="s">
        <v>328</v>
      </c>
      <c r="I66">
        <v>270</v>
      </c>
      <c r="J66">
        <v>290</v>
      </c>
      <c r="K66" t="s">
        <v>93</v>
      </c>
      <c r="L66" t="s">
        <v>12</v>
      </c>
      <c r="M66" t="s">
        <v>329</v>
      </c>
      <c r="N66" t="s">
        <v>329</v>
      </c>
      <c r="O66">
        <v>27</v>
      </c>
      <c r="P66">
        <v>27</v>
      </c>
      <c r="Q66">
        <v>599994</v>
      </c>
    </row>
    <row r="67" spans="1:17" x14ac:dyDescent="0.3">
      <c r="A67" t="s">
        <v>330</v>
      </c>
      <c r="B67" t="s">
        <v>183</v>
      </c>
      <c r="C67" t="s">
        <v>13</v>
      </c>
      <c r="D67" t="s">
        <v>11</v>
      </c>
      <c r="E67" t="s">
        <v>210</v>
      </c>
      <c r="F67">
        <v>75000</v>
      </c>
      <c r="G67" t="s">
        <v>331</v>
      </c>
      <c r="H67" t="s">
        <v>332</v>
      </c>
      <c r="I67">
        <v>400</v>
      </c>
      <c r="J67">
        <v>450</v>
      </c>
      <c r="K67" t="s">
        <v>134</v>
      </c>
      <c r="L67" t="s">
        <v>33</v>
      </c>
      <c r="M67" t="s">
        <v>333</v>
      </c>
      <c r="N67" t="s">
        <v>333</v>
      </c>
      <c r="O67">
        <v>32</v>
      </c>
      <c r="P67">
        <v>32</v>
      </c>
      <c r="Q67">
        <v>2400000</v>
      </c>
    </row>
    <row r="68" spans="1:17" x14ac:dyDescent="0.3">
      <c r="A68" t="s">
        <v>334</v>
      </c>
      <c r="B68" t="s">
        <v>128</v>
      </c>
      <c r="C68" t="s">
        <v>10</v>
      </c>
      <c r="D68" t="s">
        <v>11</v>
      </c>
      <c r="E68" t="s">
        <v>212</v>
      </c>
      <c r="F68">
        <v>40000</v>
      </c>
      <c r="G68" t="s">
        <v>85</v>
      </c>
      <c r="H68" t="s">
        <v>86</v>
      </c>
      <c r="I68">
        <v>300</v>
      </c>
      <c r="J68">
        <v>420</v>
      </c>
      <c r="K68" t="s">
        <v>97</v>
      </c>
      <c r="L68" t="s">
        <v>98</v>
      </c>
      <c r="M68" t="s">
        <v>149</v>
      </c>
      <c r="N68" t="s">
        <v>149</v>
      </c>
      <c r="O68">
        <v>8</v>
      </c>
      <c r="P68">
        <v>8</v>
      </c>
      <c r="Q68">
        <v>320000</v>
      </c>
    </row>
    <row r="69" spans="1:17" x14ac:dyDescent="0.3">
      <c r="A69" t="s">
        <v>335</v>
      </c>
      <c r="B69" t="s">
        <v>183</v>
      </c>
      <c r="C69" t="s">
        <v>18</v>
      </c>
      <c r="D69" t="s">
        <v>11</v>
      </c>
      <c r="E69" t="s">
        <v>204</v>
      </c>
      <c r="F69">
        <v>30000</v>
      </c>
      <c r="G69" t="s">
        <v>23</v>
      </c>
      <c r="H69" t="s">
        <v>119</v>
      </c>
      <c r="I69">
        <v>200</v>
      </c>
      <c r="J69">
        <v>300</v>
      </c>
      <c r="K69" t="s">
        <v>97</v>
      </c>
      <c r="L69" t="s">
        <v>98</v>
      </c>
      <c r="M69" t="s">
        <v>151</v>
      </c>
      <c r="N69" t="s">
        <v>151</v>
      </c>
      <c r="O69">
        <v>5</v>
      </c>
      <c r="P69">
        <v>5</v>
      </c>
      <c r="Q69">
        <v>150000</v>
      </c>
    </row>
    <row r="70" spans="1:17" x14ac:dyDescent="0.3">
      <c r="A70" t="s">
        <v>336</v>
      </c>
      <c r="B70" t="s">
        <v>183</v>
      </c>
      <c r="C70" t="s">
        <v>13</v>
      </c>
      <c r="D70" t="s">
        <v>11</v>
      </c>
      <c r="E70" t="s">
        <v>237</v>
      </c>
      <c r="F70">
        <v>12000</v>
      </c>
      <c r="G70" t="s">
        <v>23</v>
      </c>
      <c r="H70" t="s">
        <v>337</v>
      </c>
      <c r="I70">
        <v>250</v>
      </c>
      <c r="J70">
        <v>350</v>
      </c>
      <c r="K70" t="s">
        <v>97</v>
      </c>
      <c r="L70" t="s">
        <v>98</v>
      </c>
      <c r="M70" t="s">
        <v>153</v>
      </c>
      <c r="N70" t="s">
        <v>153</v>
      </c>
      <c r="O70">
        <v>7</v>
      </c>
      <c r="P70">
        <v>7</v>
      </c>
      <c r="Q70">
        <v>84000</v>
      </c>
    </row>
    <row r="71" spans="1:17" x14ac:dyDescent="0.3">
      <c r="A71" t="s">
        <v>338</v>
      </c>
      <c r="B71" t="s">
        <v>128</v>
      </c>
      <c r="C71" t="s">
        <v>10</v>
      </c>
      <c r="D71" t="s">
        <v>11</v>
      </c>
      <c r="E71" t="s">
        <v>214</v>
      </c>
      <c r="F71">
        <v>24000</v>
      </c>
      <c r="G71" t="s">
        <v>30</v>
      </c>
      <c r="H71" t="s">
        <v>59</v>
      </c>
      <c r="I71">
        <v>250</v>
      </c>
      <c r="J71">
        <v>300</v>
      </c>
      <c r="K71" t="s">
        <v>93</v>
      </c>
      <c r="L71" t="s">
        <v>12</v>
      </c>
      <c r="M71" t="s">
        <v>160</v>
      </c>
      <c r="N71" t="s">
        <v>160</v>
      </c>
      <c r="O71">
        <v>25</v>
      </c>
      <c r="P71">
        <v>25</v>
      </c>
      <c r="Q71">
        <v>600000</v>
      </c>
    </row>
    <row r="72" spans="1:17" x14ac:dyDescent="0.3">
      <c r="A72" t="s">
        <v>339</v>
      </c>
      <c r="B72" t="s">
        <v>183</v>
      </c>
      <c r="C72" t="s">
        <v>10</v>
      </c>
      <c r="D72" t="s">
        <v>11</v>
      </c>
      <c r="E72" t="s">
        <v>204</v>
      </c>
      <c r="F72">
        <v>10909</v>
      </c>
      <c r="G72" t="s">
        <v>124</v>
      </c>
      <c r="H72" t="s">
        <v>125</v>
      </c>
      <c r="I72">
        <v>400</v>
      </c>
      <c r="J72">
        <v>550</v>
      </c>
      <c r="K72" t="s">
        <v>94</v>
      </c>
      <c r="L72" t="s">
        <v>95</v>
      </c>
      <c r="M72" t="s">
        <v>179</v>
      </c>
      <c r="N72" t="s">
        <v>198</v>
      </c>
      <c r="O72">
        <v>22</v>
      </c>
      <c r="P72">
        <v>22</v>
      </c>
      <c r="Q72">
        <v>239998</v>
      </c>
    </row>
    <row r="73" spans="1:17" x14ac:dyDescent="0.3">
      <c r="A73" t="s">
        <v>340</v>
      </c>
      <c r="B73" t="s">
        <v>183</v>
      </c>
      <c r="C73" t="s">
        <v>13</v>
      </c>
      <c r="D73" t="s">
        <v>11</v>
      </c>
      <c r="E73" t="s">
        <v>237</v>
      </c>
      <c r="F73">
        <v>12000</v>
      </c>
      <c r="G73" t="s">
        <v>23</v>
      </c>
      <c r="H73" t="s">
        <v>337</v>
      </c>
      <c r="I73">
        <v>250</v>
      </c>
      <c r="J73">
        <v>350</v>
      </c>
      <c r="K73" t="s">
        <v>97</v>
      </c>
      <c r="L73" t="s">
        <v>98</v>
      </c>
      <c r="M73" t="s">
        <v>153</v>
      </c>
      <c r="N73" t="s">
        <v>153</v>
      </c>
      <c r="O73">
        <v>7</v>
      </c>
      <c r="P73">
        <v>7</v>
      </c>
      <c r="Q73">
        <v>84000</v>
      </c>
    </row>
    <row r="74" spans="1:17" x14ac:dyDescent="0.3">
      <c r="A74" t="s">
        <v>341</v>
      </c>
      <c r="B74" t="s">
        <v>183</v>
      </c>
      <c r="C74" t="s">
        <v>18</v>
      </c>
      <c r="D74" t="s">
        <v>11</v>
      </c>
      <c r="E74" t="s">
        <v>237</v>
      </c>
      <c r="F74">
        <v>16800</v>
      </c>
      <c r="G74" t="s">
        <v>17</v>
      </c>
      <c r="H74" t="s">
        <v>50</v>
      </c>
      <c r="I74">
        <v>250</v>
      </c>
      <c r="J74">
        <v>400</v>
      </c>
      <c r="K74" t="s">
        <v>97</v>
      </c>
      <c r="L74" t="s">
        <v>98</v>
      </c>
      <c r="M74" t="s">
        <v>148</v>
      </c>
      <c r="N74" t="s">
        <v>148</v>
      </c>
      <c r="O74">
        <v>7</v>
      </c>
      <c r="P74">
        <v>7</v>
      </c>
      <c r="Q74">
        <v>117600</v>
      </c>
    </row>
    <row r="75" spans="1:17" x14ac:dyDescent="0.3">
      <c r="A75" t="s">
        <v>342</v>
      </c>
      <c r="B75" t="s">
        <v>183</v>
      </c>
      <c r="C75" t="s">
        <v>18</v>
      </c>
      <c r="D75" t="s">
        <v>11</v>
      </c>
      <c r="E75" t="s">
        <v>204</v>
      </c>
      <c r="F75">
        <v>19354</v>
      </c>
      <c r="G75" t="s">
        <v>23</v>
      </c>
      <c r="H75" t="s">
        <v>120</v>
      </c>
      <c r="I75">
        <v>310</v>
      </c>
      <c r="J75">
        <v>340</v>
      </c>
      <c r="K75" t="s">
        <v>97</v>
      </c>
      <c r="L75" t="s">
        <v>98</v>
      </c>
      <c r="M75" t="s">
        <v>180</v>
      </c>
      <c r="N75" t="s">
        <v>180</v>
      </c>
      <c r="O75">
        <v>8</v>
      </c>
      <c r="P75">
        <v>8</v>
      </c>
      <c r="Q75">
        <v>154832</v>
      </c>
    </row>
    <row r="76" spans="1:17" x14ac:dyDescent="0.3">
      <c r="A76" t="s">
        <v>343</v>
      </c>
      <c r="B76" t="s">
        <v>183</v>
      </c>
      <c r="C76" t="s">
        <v>13</v>
      </c>
      <c r="D76" t="s">
        <v>11</v>
      </c>
      <c r="E76" t="s">
        <v>237</v>
      </c>
      <c r="F76">
        <v>57142</v>
      </c>
      <c r="G76" t="s">
        <v>113</v>
      </c>
      <c r="H76" t="s">
        <v>114</v>
      </c>
      <c r="I76">
        <v>210</v>
      </c>
      <c r="J76">
        <v>210</v>
      </c>
      <c r="K76" t="s">
        <v>97</v>
      </c>
      <c r="L76" t="s">
        <v>98</v>
      </c>
      <c r="M76" t="s">
        <v>174</v>
      </c>
      <c r="N76" t="s">
        <v>174</v>
      </c>
      <c r="O76">
        <v>6</v>
      </c>
      <c r="P76">
        <v>6</v>
      </c>
      <c r="Q76">
        <v>342852</v>
      </c>
    </row>
    <row r="77" spans="1:17" x14ac:dyDescent="0.3">
      <c r="A77" t="s">
        <v>344</v>
      </c>
      <c r="B77" t="s">
        <v>183</v>
      </c>
      <c r="C77" t="s">
        <v>18</v>
      </c>
      <c r="D77" t="s">
        <v>11</v>
      </c>
      <c r="E77" t="s">
        <v>206</v>
      </c>
      <c r="F77">
        <v>40000</v>
      </c>
      <c r="G77" t="s">
        <v>72</v>
      </c>
      <c r="H77" t="s">
        <v>345</v>
      </c>
      <c r="I77">
        <v>150</v>
      </c>
      <c r="J77">
        <v>240</v>
      </c>
      <c r="K77" t="s">
        <v>97</v>
      </c>
      <c r="L77" t="s">
        <v>98</v>
      </c>
      <c r="M77" t="s">
        <v>346</v>
      </c>
      <c r="N77" t="s">
        <v>346</v>
      </c>
      <c r="O77">
        <v>5</v>
      </c>
      <c r="P77">
        <v>5</v>
      </c>
      <c r="Q77">
        <v>200000</v>
      </c>
    </row>
    <row r="78" spans="1:17" x14ac:dyDescent="0.3">
      <c r="A78" t="s">
        <v>347</v>
      </c>
      <c r="B78" t="s">
        <v>183</v>
      </c>
      <c r="C78" t="s">
        <v>10</v>
      </c>
      <c r="D78" t="s">
        <v>11</v>
      </c>
      <c r="E78" t="s">
        <v>204</v>
      </c>
      <c r="F78">
        <v>26086</v>
      </c>
      <c r="G78" t="s">
        <v>130</v>
      </c>
      <c r="H78" t="s">
        <v>29</v>
      </c>
      <c r="I78">
        <v>230</v>
      </c>
      <c r="J78">
        <v>300</v>
      </c>
      <c r="K78" t="s">
        <v>93</v>
      </c>
      <c r="L78" t="s">
        <v>12</v>
      </c>
      <c r="M78" t="s">
        <v>178</v>
      </c>
      <c r="N78" t="s">
        <v>178</v>
      </c>
      <c r="O78">
        <v>7</v>
      </c>
      <c r="P78">
        <v>7</v>
      </c>
      <c r="Q78">
        <v>182602</v>
      </c>
    </row>
    <row r="79" spans="1:17" x14ac:dyDescent="0.3">
      <c r="A79" t="s">
        <v>348</v>
      </c>
      <c r="B79" t="s">
        <v>184</v>
      </c>
      <c r="C79" t="s">
        <v>10</v>
      </c>
      <c r="D79" t="s">
        <v>11</v>
      </c>
      <c r="E79" t="s">
        <v>206</v>
      </c>
      <c r="F79">
        <v>26086</v>
      </c>
      <c r="G79" t="s">
        <v>23</v>
      </c>
      <c r="H79" t="s">
        <v>104</v>
      </c>
      <c r="I79">
        <v>230</v>
      </c>
      <c r="J79">
        <v>320</v>
      </c>
      <c r="K79" t="s">
        <v>97</v>
      </c>
      <c r="L79" t="s">
        <v>98</v>
      </c>
      <c r="M79" t="s">
        <v>152</v>
      </c>
      <c r="N79" t="s">
        <v>152</v>
      </c>
      <c r="O79">
        <v>6</v>
      </c>
      <c r="P79">
        <v>6</v>
      </c>
      <c r="Q79">
        <v>156516</v>
      </c>
    </row>
    <row r="80" spans="1:17" x14ac:dyDescent="0.3">
      <c r="A80" t="s">
        <v>349</v>
      </c>
      <c r="B80" t="s">
        <v>184</v>
      </c>
      <c r="C80" t="s">
        <v>13</v>
      </c>
      <c r="D80" t="s">
        <v>11</v>
      </c>
      <c r="E80" t="s">
        <v>286</v>
      </c>
      <c r="F80">
        <v>50000</v>
      </c>
      <c r="G80" t="s">
        <v>31</v>
      </c>
      <c r="H80" t="s">
        <v>71</v>
      </c>
      <c r="I80">
        <v>120</v>
      </c>
      <c r="J80">
        <v>180</v>
      </c>
      <c r="K80" t="s">
        <v>133</v>
      </c>
      <c r="L80" t="s">
        <v>32</v>
      </c>
      <c r="M80" t="s">
        <v>168</v>
      </c>
      <c r="N80" t="s">
        <v>168</v>
      </c>
      <c r="O80">
        <v>12</v>
      </c>
      <c r="P80">
        <v>12</v>
      </c>
      <c r="Q80">
        <v>600000</v>
      </c>
    </row>
    <row r="81" spans="1:17" x14ac:dyDescent="0.3">
      <c r="A81" t="s">
        <v>350</v>
      </c>
      <c r="B81" t="s">
        <v>183</v>
      </c>
      <c r="C81" t="s">
        <v>18</v>
      </c>
      <c r="D81" t="s">
        <v>11</v>
      </c>
      <c r="E81" t="s">
        <v>204</v>
      </c>
      <c r="F81">
        <v>22222</v>
      </c>
      <c r="G81" t="s">
        <v>85</v>
      </c>
      <c r="H81" t="s">
        <v>351</v>
      </c>
      <c r="I81">
        <v>270</v>
      </c>
      <c r="J81">
        <v>350</v>
      </c>
      <c r="K81" t="s">
        <v>97</v>
      </c>
      <c r="L81" t="s">
        <v>98</v>
      </c>
      <c r="M81" t="s">
        <v>176</v>
      </c>
      <c r="N81" t="s">
        <v>176</v>
      </c>
      <c r="O81">
        <v>7</v>
      </c>
      <c r="P81">
        <v>7</v>
      </c>
      <c r="Q81">
        <v>155554</v>
      </c>
    </row>
    <row r="82" spans="1:17" x14ac:dyDescent="0.3">
      <c r="A82" t="s">
        <v>352</v>
      </c>
      <c r="B82" t="s">
        <v>183</v>
      </c>
      <c r="C82" t="s">
        <v>13</v>
      </c>
      <c r="D82" t="s">
        <v>11</v>
      </c>
      <c r="E82" t="s">
        <v>212</v>
      </c>
      <c r="F82">
        <v>20000</v>
      </c>
      <c r="G82" t="s">
        <v>25</v>
      </c>
      <c r="H82" t="s">
        <v>353</v>
      </c>
      <c r="I82">
        <v>300</v>
      </c>
      <c r="J82">
        <v>445</v>
      </c>
      <c r="K82" t="s">
        <v>93</v>
      </c>
      <c r="L82" t="s">
        <v>12</v>
      </c>
      <c r="M82" t="s">
        <v>175</v>
      </c>
      <c r="N82" t="s">
        <v>175</v>
      </c>
      <c r="O82">
        <v>30</v>
      </c>
      <c r="P82">
        <v>30</v>
      </c>
      <c r="Q82">
        <v>600000</v>
      </c>
    </row>
    <row r="83" spans="1:17" x14ac:dyDescent="0.3">
      <c r="A83" t="s">
        <v>354</v>
      </c>
      <c r="B83" t="s">
        <v>183</v>
      </c>
      <c r="C83" t="s">
        <v>10</v>
      </c>
      <c r="D83" t="s">
        <v>11</v>
      </c>
      <c r="E83" t="s">
        <v>204</v>
      </c>
      <c r="F83">
        <v>30000</v>
      </c>
      <c r="G83" t="s">
        <v>22</v>
      </c>
      <c r="H83" t="s">
        <v>355</v>
      </c>
      <c r="I83">
        <v>400</v>
      </c>
      <c r="J83">
        <v>530</v>
      </c>
      <c r="K83" t="s">
        <v>97</v>
      </c>
      <c r="L83" t="s">
        <v>98</v>
      </c>
      <c r="M83" t="s">
        <v>356</v>
      </c>
      <c r="N83" t="s">
        <v>356</v>
      </c>
      <c r="O83">
        <v>10</v>
      </c>
      <c r="P83">
        <v>10</v>
      </c>
      <c r="Q83">
        <v>300000</v>
      </c>
    </row>
    <row r="84" spans="1:17" x14ac:dyDescent="0.3">
      <c r="A84" t="s">
        <v>378</v>
      </c>
      <c r="B84" t="s">
        <v>184</v>
      </c>
      <c r="C84" t="s">
        <v>13</v>
      </c>
      <c r="D84" t="s">
        <v>11</v>
      </c>
      <c r="E84" t="s">
        <v>206</v>
      </c>
      <c r="F84">
        <v>18750</v>
      </c>
      <c r="G84" t="s">
        <v>130</v>
      </c>
      <c r="H84" t="s">
        <v>131</v>
      </c>
      <c r="I84">
        <v>250</v>
      </c>
      <c r="J84">
        <v>320</v>
      </c>
      <c r="K84" t="s">
        <v>94</v>
      </c>
      <c r="L84" t="s">
        <v>95</v>
      </c>
      <c r="M84" t="s">
        <v>187</v>
      </c>
      <c r="N84" t="s">
        <v>196</v>
      </c>
      <c r="O84">
        <v>7</v>
      </c>
      <c r="P84">
        <v>7</v>
      </c>
      <c r="Q84">
        <v>131250</v>
      </c>
    </row>
    <row r="85" spans="1:17" x14ac:dyDescent="0.3">
      <c r="A85" t="s">
        <v>357</v>
      </c>
      <c r="B85" t="s">
        <v>184</v>
      </c>
      <c r="C85" t="s">
        <v>13</v>
      </c>
      <c r="D85" t="s">
        <v>11</v>
      </c>
      <c r="E85" t="s">
        <v>206</v>
      </c>
      <c r="F85">
        <v>18500</v>
      </c>
      <c r="G85" t="s">
        <v>87</v>
      </c>
      <c r="H85" t="s">
        <v>111</v>
      </c>
      <c r="I85">
        <v>160</v>
      </c>
      <c r="J85">
        <v>200</v>
      </c>
      <c r="K85" t="s">
        <v>97</v>
      </c>
      <c r="L85" t="s">
        <v>98</v>
      </c>
      <c r="M85" t="s">
        <v>163</v>
      </c>
      <c r="N85" t="s">
        <v>163</v>
      </c>
      <c r="O85">
        <v>5</v>
      </c>
      <c r="P85">
        <v>5</v>
      </c>
      <c r="Q85">
        <v>92500</v>
      </c>
    </row>
    <row r="86" spans="1:17" x14ac:dyDescent="0.3">
      <c r="A86" t="s">
        <v>358</v>
      </c>
      <c r="B86" t="s">
        <v>183</v>
      </c>
      <c r="C86" t="s">
        <v>10</v>
      </c>
      <c r="D86" t="s">
        <v>11</v>
      </c>
      <c r="E86" t="s">
        <v>204</v>
      </c>
      <c r="F86">
        <v>24000</v>
      </c>
      <c r="G86" t="s">
        <v>23</v>
      </c>
      <c r="H86" t="s">
        <v>359</v>
      </c>
      <c r="I86">
        <v>250</v>
      </c>
      <c r="J86">
        <v>210</v>
      </c>
      <c r="K86" t="s">
        <v>97</v>
      </c>
      <c r="L86" t="s">
        <v>98</v>
      </c>
      <c r="M86" t="s">
        <v>153</v>
      </c>
      <c r="N86" t="s">
        <v>153</v>
      </c>
      <c r="O86">
        <v>7</v>
      </c>
      <c r="P86">
        <v>7</v>
      </c>
      <c r="Q86">
        <v>168000</v>
      </c>
    </row>
    <row r="87" spans="1:17" x14ac:dyDescent="0.3">
      <c r="A87" t="s">
        <v>360</v>
      </c>
      <c r="B87" t="s">
        <v>183</v>
      </c>
      <c r="C87" t="s">
        <v>10</v>
      </c>
      <c r="D87" t="s">
        <v>11</v>
      </c>
      <c r="E87" t="s">
        <v>204</v>
      </c>
      <c r="F87">
        <v>24000</v>
      </c>
      <c r="G87" t="s">
        <v>23</v>
      </c>
      <c r="H87" t="s">
        <v>361</v>
      </c>
      <c r="I87">
        <v>250</v>
      </c>
      <c r="J87">
        <v>300</v>
      </c>
      <c r="K87" t="s">
        <v>97</v>
      </c>
      <c r="L87" t="s">
        <v>98</v>
      </c>
      <c r="M87" t="s">
        <v>153</v>
      </c>
      <c r="N87" t="s">
        <v>153</v>
      </c>
      <c r="O87">
        <v>7</v>
      </c>
      <c r="P87">
        <v>7</v>
      </c>
      <c r="Q87">
        <v>168000</v>
      </c>
    </row>
    <row r="88" spans="1:17" x14ac:dyDescent="0.3">
      <c r="A88" t="s">
        <v>362</v>
      </c>
      <c r="B88" t="s">
        <v>184</v>
      </c>
      <c r="C88" t="s">
        <v>13</v>
      </c>
      <c r="D88" t="s">
        <v>11</v>
      </c>
      <c r="E88" t="s">
        <v>286</v>
      </c>
      <c r="F88">
        <v>86900</v>
      </c>
      <c r="G88" t="s">
        <v>87</v>
      </c>
      <c r="H88" t="s">
        <v>111</v>
      </c>
      <c r="I88">
        <v>160</v>
      </c>
      <c r="J88">
        <v>200</v>
      </c>
      <c r="K88" t="s">
        <v>97</v>
      </c>
      <c r="L88" t="s">
        <v>98</v>
      </c>
      <c r="M88" t="s">
        <v>163</v>
      </c>
      <c r="N88" t="s">
        <v>163</v>
      </c>
      <c r="O88">
        <v>5</v>
      </c>
      <c r="P88">
        <v>5</v>
      </c>
      <c r="Q88">
        <v>434500</v>
      </c>
    </row>
    <row r="89" spans="1:17" x14ac:dyDescent="0.3">
      <c r="A89" t="s">
        <v>363</v>
      </c>
      <c r="B89" t="s">
        <v>184</v>
      </c>
      <c r="C89" t="s">
        <v>13</v>
      </c>
      <c r="D89" t="s">
        <v>11</v>
      </c>
      <c r="E89" t="s">
        <v>206</v>
      </c>
      <c r="F89">
        <v>10100</v>
      </c>
      <c r="G89" t="s">
        <v>87</v>
      </c>
      <c r="H89" t="s">
        <v>111</v>
      </c>
      <c r="I89">
        <v>160</v>
      </c>
      <c r="J89">
        <v>200</v>
      </c>
      <c r="K89" t="s">
        <v>97</v>
      </c>
      <c r="L89" t="s">
        <v>98</v>
      </c>
      <c r="M89" t="s">
        <v>163</v>
      </c>
      <c r="N89" t="s">
        <v>163</v>
      </c>
      <c r="O89">
        <v>5</v>
      </c>
      <c r="P89">
        <v>5</v>
      </c>
      <c r="Q89">
        <v>50500</v>
      </c>
    </row>
    <row r="90" spans="1:17" x14ac:dyDescent="0.3">
      <c r="A90" t="s">
        <v>364</v>
      </c>
      <c r="B90" t="s">
        <v>184</v>
      </c>
      <c r="C90" t="s">
        <v>13</v>
      </c>
      <c r="D90" t="s">
        <v>11</v>
      </c>
      <c r="E90" t="s">
        <v>206</v>
      </c>
      <c r="F90">
        <v>35294</v>
      </c>
      <c r="G90" t="s">
        <v>15</v>
      </c>
      <c r="H90" t="s">
        <v>61</v>
      </c>
      <c r="I90">
        <v>170</v>
      </c>
      <c r="J90">
        <v>260</v>
      </c>
      <c r="K90" t="s">
        <v>93</v>
      </c>
      <c r="L90" t="s">
        <v>12</v>
      </c>
      <c r="M90" t="s">
        <v>188</v>
      </c>
      <c r="N90" t="s">
        <v>188</v>
      </c>
      <c r="O90">
        <v>17</v>
      </c>
      <c r="P90">
        <v>17</v>
      </c>
      <c r="Q90">
        <v>599998</v>
      </c>
    </row>
    <row r="91" spans="1:17" x14ac:dyDescent="0.3">
      <c r="A91" t="s">
        <v>365</v>
      </c>
      <c r="B91" t="s">
        <v>184</v>
      </c>
      <c r="C91" t="s">
        <v>10</v>
      </c>
      <c r="D91" t="s">
        <v>11</v>
      </c>
      <c r="E91" t="s">
        <v>237</v>
      </c>
      <c r="F91">
        <v>24000</v>
      </c>
      <c r="G91" t="s">
        <v>64</v>
      </c>
      <c r="H91" t="s">
        <v>101</v>
      </c>
      <c r="I91">
        <v>250</v>
      </c>
      <c r="J91">
        <v>310</v>
      </c>
      <c r="K91" t="s">
        <v>97</v>
      </c>
      <c r="L91" t="s">
        <v>98</v>
      </c>
      <c r="M91" t="s">
        <v>366</v>
      </c>
      <c r="N91" t="s">
        <v>366</v>
      </c>
      <c r="O91">
        <v>7</v>
      </c>
      <c r="P91">
        <v>7</v>
      </c>
      <c r="Q91">
        <v>168000</v>
      </c>
    </row>
    <row r="92" spans="1:17" x14ac:dyDescent="0.3">
      <c r="A92" t="s">
        <v>367</v>
      </c>
      <c r="B92" t="s">
        <v>184</v>
      </c>
      <c r="C92" t="s">
        <v>10</v>
      </c>
      <c r="D92" t="s">
        <v>11</v>
      </c>
      <c r="E92" t="s">
        <v>204</v>
      </c>
      <c r="F92">
        <v>33333</v>
      </c>
      <c r="G92" t="s">
        <v>368</v>
      </c>
      <c r="H92" t="s">
        <v>49</v>
      </c>
      <c r="I92">
        <v>180</v>
      </c>
      <c r="J92">
        <v>280</v>
      </c>
      <c r="K92" t="s">
        <v>97</v>
      </c>
      <c r="L92" t="s">
        <v>98</v>
      </c>
      <c r="M92" t="s">
        <v>369</v>
      </c>
      <c r="N92" t="s">
        <v>369</v>
      </c>
      <c r="O92">
        <v>5</v>
      </c>
      <c r="P92">
        <v>5</v>
      </c>
      <c r="Q92">
        <v>166665</v>
      </c>
    </row>
    <row r="93" spans="1:17" x14ac:dyDescent="0.3">
      <c r="A93" t="s">
        <v>370</v>
      </c>
      <c r="B93" t="s">
        <v>184</v>
      </c>
      <c r="C93" t="s">
        <v>18</v>
      </c>
      <c r="D93" t="s">
        <v>11</v>
      </c>
      <c r="E93" t="s">
        <v>237</v>
      </c>
      <c r="F93">
        <v>25000</v>
      </c>
      <c r="G93" t="s">
        <v>83</v>
      </c>
      <c r="H93" t="s">
        <v>84</v>
      </c>
      <c r="I93">
        <v>240</v>
      </c>
      <c r="J93">
        <v>280</v>
      </c>
      <c r="K93" t="s">
        <v>97</v>
      </c>
      <c r="L93" t="s">
        <v>98</v>
      </c>
      <c r="M93" t="s">
        <v>135</v>
      </c>
      <c r="N93" t="s">
        <v>135</v>
      </c>
      <c r="O93">
        <v>6</v>
      </c>
      <c r="P93">
        <v>6</v>
      </c>
      <c r="Q93">
        <v>150000</v>
      </c>
    </row>
    <row r="94" spans="1:17" x14ac:dyDescent="0.3">
      <c r="A94" t="s">
        <v>371</v>
      </c>
      <c r="B94" t="s">
        <v>184</v>
      </c>
      <c r="C94" t="s">
        <v>13</v>
      </c>
      <c r="D94" t="s">
        <v>11</v>
      </c>
      <c r="E94" t="s">
        <v>204</v>
      </c>
      <c r="F94">
        <v>31578</v>
      </c>
      <c r="G94" t="s">
        <v>372</v>
      </c>
      <c r="H94" t="s">
        <v>373</v>
      </c>
      <c r="I94">
        <v>190</v>
      </c>
      <c r="J94">
        <v>260</v>
      </c>
      <c r="K94" t="s">
        <v>97</v>
      </c>
      <c r="L94" t="s">
        <v>98</v>
      </c>
      <c r="M94" t="s">
        <v>374</v>
      </c>
      <c r="N94" t="s">
        <v>374</v>
      </c>
      <c r="O94">
        <v>5</v>
      </c>
      <c r="P94">
        <v>5</v>
      </c>
      <c r="Q94">
        <v>157890</v>
      </c>
    </row>
    <row r="95" spans="1:17" x14ac:dyDescent="0.3">
      <c r="A95" t="s">
        <v>379</v>
      </c>
      <c r="B95" t="s">
        <v>69</v>
      </c>
      <c r="C95" t="s">
        <v>13</v>
      </c>
      <c r="D95" t="s">
        <v>11</v>
      </c>
      <c r="E95" t="s">
        <v>286</v>
      </c>
      <c r="F95">
        <v>24000</v>
      </c>
      <c r="G95" t="s">
        <v>380</v>
      </c>
      <c r="H95" t="s">
        <v>381</v>
      </c>
      <c r="I95">
        <v>250</v>
      </c>
      <c r="J95">
        <v>290</v>
      </c>
      <c r="K95" t="s">
        <v>134</v>
      </c>
      <c r="L95" t="s">
        <v>33</v>
      </c>
      <c r="M95" t="s">
        <v>382</v>
      </c>
      <c r="N95" t="s">
        <v>382</v>
      </c>
      <c r="O95">
        <v>32</v>
      </c>
      <c r="P95">
        <v>32</v>
      </c>
      <c r="Q95">
        <v>768000</v>
      </c>
    </row>
    <row r="96" spans="1:17" x14ac:dyDescent="0.3">
      <c r="A96" t="s">
        <v>383</v>
      </c>
      <c r="B96" t="s">
        <v>69</v>
      </c>
      <c r="C96" t="s">
        <v>18</v>
      </c>
      <c r="D96" t="s">
        <v>11</v>
      </c>
      <c r="E96" t="s">
        <v>204</v>
      </c>
      <c r="F96">
        <v>28571</v>
      </c>
      <c r="G96" t="s">
        <v>107</v>
      </c>
      <c r="H96" t="s">
        <v>384</v>
      </c>
      <c r="I96">
        <v>210</v>
      </c>
      <c r="J96">
        <v>260</v>
      </c>
      <c r="K96" t="s">
        <v>97</v>
      </c>
      <c r="L96" t="s">
        <v>98</v>
      </c>
      <c r="M96" t="s">
        <v>156</v>
      </c>
      <c r="N96" t="s">
        <v>156</v>
      </c>
      <c r="O96">
        <v>6</v>
      </c>
      <c r="P96">
        <v>6</v>
      </c>
      <c r="Q96">
        <v>171426</v>
      </c>
    </row>
    <row r="97" spans="1:17" x14ac:dyDescent="0.3">
      <c r="A97" t="s">
        <v>385</v>
      </c>
      <c r="B97" t="s">
        <v>69</v>
      </c>
      <c r="C97" t="s">
        <v>13</v>
      </c>
      <c r="D97" t="s">
        <v>11</v>
      </c>
      <c r="E97" t="s">
        <v>286</v>
      </c>
      <c r="F97">
        <v>26086</v>
      </c>
      <c r="G97" t="s">
        <v>23</v>
      </c>
      <c r="H97" t="s">
        <v>104</v>
      </c>
      <c r="I97">
        <v>230</v>
      </c>
      <c r="J97">
        <v>320</v>
      </c>
      <c r="K97" t="s">
        <v>97</v>
      </c>
      <c r="L97" t="s">
        <v>98</v>
      </c>
      <c r="M97" t="s">
        <v>152</v>
      </c>
      <c r="N97" t="s">
        <v>152</v>
      </c>
      <c r="O97">
        <v>6</v>
      </c>
      <c r="P97">
        <v>6</v>
      </c>
      <c r="Q97">
        <v>156516</v>
      </c>
    </row>
    <row r="98" spans="1:17" x14ac:dyDescent="0.3">
      <c r="A98" t="s">
        <v>386</v>
      </c>
      <c r="B98" t="s">
        <v>69</v>
      </c>
      <c r="C98" t="s">
        <v>13</v>
      </c>
      <c r="D98" t="s">
        <v>11</v>
      </c>
      <c r="E98" t="s">
        <v>286</v>
      </c>
      <c r="F98">
        <v>46153</v>
      </c>
      <c r="G98" t="s">
        <v>16</v>
      </c>
      <c r="H98" t="s">
        <v>387</v>
      </c>
      <c r="I98">
        <v>130</v>
      </c>
      <c r="J98">
        <v>210</v>
      </c>
      <c r="K98" t="s">
        <v>93</v>
      </c>
      <c r="L98" t="s">
        <v>12</v>
      </c>
      <c r="M98" t="s">
        <v>388</v>
      </c>
      <c r="N98" t="s">
        <v>388</v>
      </c>
      <c r="O98">
        <v>13</v>
      </c>
      <c r="P98">
        <v>13</v>
      </c>
      <c r="Q98">
        <v>599989</v>
      </c>
    </row>
    <row r="99" spans="1:17" x14ac:dyDescent="0.3">
      <c r="A99" t="s">
        <v>389</v>
      </c>
      <c r="B99" t="s">
        <v>69</v>
      </c>
      <c r="C99" t="s">
        <v>10</v>
      </c>
      <c r="D99" t="s">
        <v>11</v>
      </c>
      <c r="E99" t="s">
        <v>206</v>
      </c>
      <c r="F99">
        <v>17142</v>
      </c>
      <c r="G99" t="s">
        <v>23</v>
      </c>
      <c r="H99" t="s">
        <v>390</v>
      </c>
      <c r="I99">
        <v>350</v>
      </c>
      <c r="J99">
        <v>550</v>
      </c>
      <c r="K99" t="s">
        <v>97</v>
      </c>
      <c r="L99" t="s">
        <v>98</v>
      </c>
      <c r="M99" t="s">
        <v>154</v>
      </c>
      <c r="N99" t="s">
        <v>154</v>
      </c>
      <c r="O99">
        <v>9</v>
      </c>
      <c r="P99">
        <v>9</v>
      </c>
      <c r="Q99">
        <v>154278</v>
      </c>
    </row>
    <row r="100" spans="1:17" x14ac:dyDescent="0.3">
      <c r="A100" t="s">
        <v>391</v>
      </c>
      <c r="B100" t="s">
        <v>69</v>
      </c>
      <c r="C100" t="s">
        <v>13</v>
      </c>
      <c r="D100" t="s">
        <v>11</v>
      </c>
      <c r="E100" t="s">
        <v>204</v>
      </c>
      <c r="F100">
        <v>17142</v>
      </c>
      <c r="G100" t="s">
        <v>392</v>
      </c>
      <c r="H100" t="s">
        <v>115</v>
      </c>
      <c r="I100">
        <v>350</v>
      </c>
      <c r="J100">
        <v>450</v>
      </c>
      <c r="K100" t="s">
        <v>97</v>
      </c>
      <c r="L100" t="s">
        <v>98</v>
      </c>
      <c r="M100" t="s">
        <v>393</v>
      </c>
      <c r="N100" t="s">
        <v>393</v>
      </c>
      <c r="O100">
        <v>9</v>
      </c>
      <c r="P100">
        <v>9</v>
      </c>
      <c r="Q100">
        <v>154278</v>
      </c>
    </row>
    <row r="101" spans="1:17" x14ac:dyDescent="0.3">
      <c r="A101" t="s">
        <v>394</v>
      </c>
      <c r="B101" t="s">
        <v>69</v>
      </c>
      <c r="C101" t="s">
        <v>10</v>
      </c>
      <c r="D101" t="s">
        <v>11</v>
      </c>
      <c r="E101" t="s">
        <v>286</v>
      </c>
      <c r="F101">
        <v>20618</v>
      </c>
      <c r="G101" t="s">
        <v>106</v>
      </c>
      <c r="H101" t="s">
        <v>395</v>
      </c>
      <c r="I101">
        <v>291</v>
      </c>
      <c r="J101">
        <v>390</v>
      </c>
      <c r="K101" t="s">
        <v>97</v>
      </c>
      <c r="L101" t="s">
        <v>98</v>
      </c>
      <c r="M101" t="s">
        <v>396</v>
      </c>
      <c r="N101" t="s">
        <v>396</v>
      </c>
      <c r="O101">
        <v>8</v>
      </c>
      <c r="P101">
        <v>8</v>
      </c>
      <c r="Q101">
        <v>164944</v>
      </c>
    </row>
    <row r="102" spans="1:17" x14ac:dyDescent="0.3">
      <c r="A102" t="s">
        <v>397</v>
      </c>
      <c r="B102" t="s">
        <v>69</v>
      </c>
      <c r="C102" t="s">
        <v>10</v>
      </c>
      <c r="D102" t="s">
        <v>11</v>
      </c>
      <c r="E102" t="s">
        <v>286</v>
      </c>
      <c r="F102">
        <v>37500</v>
      </c>
      <c r="G102" t="s">
        <v>106</v>
      </c>
      <c r="H102" t="s">
        <v>398</v>
      </c>
      <c r="I102">
        <v>320</v>
      </c>
      <c r="J102">
        <v>520</v>
      </c>
      <c r="K102" t="s">
        <v>97</v>
      </c>
      <c r="L102" t="s">
        <v>98</v>
      </c>
      <c r="M102" t="s">
        <v>399</v>
      </c>
      <c r="N102" t="s">
        <v>399</v>
      </c>
      <c r="O102">
        <v>8</v>
      </c>
      <c r="P102">
        <v>8</v>
      </c>
      <c r="Q102">
        <v>300000</v>
      </c>
    </row>
    <row r="103" spans="1:17" x14ac:dyDescent="0.3">
      <c r="A103" t="s">
        <v>400</v>
      </c>
      <c r="B103" t="s">
        <v>69</v>
      </c>
      <c r="C103" t="s">
        <v>13</v>
      </c>
      <c r="D103" t="s">
        <v>11</v>
      </c>
      <c r="E103" t="s">
        <v>206</v>
      </c>
      <c r="F103">
        <v>31578</v>
      </c>
      <c r="G103" t="s">
        <v>182</v>
      </c>
      <c r="H103" t="s">
        <v>401</v>
      </c>
      <c r="I103">
        <v>190</v>
      </c>
      <c r="J103">
        <v>270</v>
      </c>
      <c r="K103" t="s">
        <v>93</v>
      </c>
      <c r="L103" t="s">
        <v>12</v>
      </c>
      <c r="M103" t="s">
        <v>402</v>
      </c>
      <c r="N103" t="s">
        <v>402</v>
      </c>
      <c r="O103">
        <v>19</v>
      </c>
      <c r="P103">
        <v>19</v>
      </c>
      <c r="Q103">
        <v>599982</v>
      </c>
    </row>
    <row r="104" spans="1:17" x14ac:dyDescent="0.3">
      <c r="A104" t="s">
        <v>403</v>
      </c>
      <c r="B104" t="s">
        <v>69</v>
      </c>
      <c r="C104" t="s">
        <v>13</v>
      </c>
      <c r="D104" t="s">
        <v>11</v>
      </c>
      <c r="E104" t="s">
        <v>206</v>
      </c>
      <c r="F104">
        <v>27272</v>
      </c>
      <c r="G104" t="s">
        <v>80</v>
      </c>
      <c r="H104" t="s">
        <v>404</v>
      </c>
      <c r="I104">
        <v>220</v>
      </c>
      <c r="J104">
        <v>280</v>
      </c>
      <c r="K104" t="s">
        <v>97</v>
      </c>
      <c r="L104" t="s">
        <v>98</v>
      </c>
      <c r="M104" t="s">
        <v>162</v>
      </c>
      <c r="N104" t="s">
        <v>162</v>
      </c>
      <c r="O104">
        <v>6</v>
      </c>
      <c r="P104">
        <v>6</v>
      </c>
      <c r="Q104">
        <v>163632</v>
      </c>
    </row>
    <row r="105" spans="1:17" x14ac:dyDescent="0.3">
      <c r="A105" t="s">
        <v>405</v>
      </c>
      <c r="B105" t="s">
        <v>69</v>
      </c>
      <c r="C105" t="s">
        <v>10</v>
      </c>
      <c r="D105" t="s">
        <v>11</v>
      </c>
      <c r="E105" t="s">
        <v>286</v>
      </c>
      <c r="F105">
        <v>14285</v>
      </c>
      <c r="G105" t="s">
        <v>87</v>
      </c>
      <c r="H105" t="s">
        <v>406</v>
      </c>
      <c r="I105">
        <v>420</v>
      </c>
      <c r="J105">
        <v>500</v>
      </c>
      <c r="K105" t="s">
        <v>97</v>
      </c>
      <c r="L105" t="s">
        <v>98</v>
      </c>
      <c r="M105" t="s">
        <v>407</v>
      </c>
      <c r="N105" t="s">
        <v>407</v>
      </c>
      <c r="O105">
        <v>11</v>
      </c>
      <c r="P105">
        <v>11</v>
      </c>
      <c r="Q105">
        <v>157135</v>
      </c>
    </row>
    <row r="106" spans="1:17" x14ac:dyDescent="0.3">
      <c r="A106" t="s">
        <v>408</v>
      </c>
      <c r="B106" t="s">
        <v>69</v>
      </c>
      <c r="C106" t="s">
        <v>13</v>
      </c>
      <c r="D106" t="s">
        <v>11</v>
      </c>
      <c r="E106" t="s">
        <v>286</v>
      </c>
      <c r="F106">
        <v>28571</v>
      </c>
      <c r="G106" t="s">
        <v>108</v>
      </c>
      <c r="H106" t="s">
        <v>409</v>
      </c>
      <c r="I106">
        <v>210</v>
      </c>
      <c r="J106">
        <v>320</v>
      </c>
      <c r="K106" t="s">
        <v>97</v>
      </c>
      <c r="L106" t="s">
        <v>98</v>
      </c>
      <c r="M106" t="s">
        <v>410</v>
      </c>
      <c r="N106" t="s">
        <v>410</v>
      </c>
      <c r="O106">
        <v>6</v>
      </c>
      <c r="P106">
        <v>6</v>
      </c>
      <c r="Q106">
        <v>171426</v>
      </c>
    </row>
    <row r="107" spans="1:17" x14ac:dyDescent="0.3">
      <c r="A107" t="s">
        <v>462</v>
      </c>
      <c r="B107" t="s">
        <v>69</v>
      </c>
      <c r="C107" t="s">
        <v>18</v>
      </c>
      <c r="D107" t="s">
        <v>11</v>
      </c>
      <c r="E107" t="s">
        <v>278</v>
      </c>
      <c r="F107">
        <v>240000</v>
      </c>
      <c r="G107" t="s">
        <v>463</v>
      </c>
      <c r="H107" t="s">
        <v>464</v>
      </c>
      <c r="I107">
        <v>100</v>
      </c>
      <c r="J107">
        <v>170</v>
      </c>
      <c r="K107" t="s">
        <v>133</v>
      </c>
      <c r="L107" t="s">
        <v>32</v>
      </c>
      <c r="M107" t="s">
        <v>465</v>
      </c>
      <c r="N107" t="s">
        <v>465</v>
      </c>
      <c r="O107">
        <v>10</v>
      </c>
      <c r="P107">
        <v>10</v>
      </c>
      <c r="Q107">
        <v>2400000</v>
      </c>
    </row>
    <row r="108" spans="1:17" x14ac:dyDescent="0.3">
      <c r="A108" t="s">
        <v>466</v>
      </c>
      <c r="B108" t="s">
        <v>69</v>
      </c>
      <c r="C108" t="s">
        <v>13</v>
      </c>
      <c r="D108" t="s">
        <v>11</v>
      </c>
      <c r="E108" t="s">
        <v>286</v>
      </c>
      <c r="F108">
        <v>66666</v>
      </c>
      <c r="G108" t="s">
        <v>442</v>
      </c>
      <c r="H108" t="s">
        <v>467</v>
      </c>
      <c r="I108">
        <v>180</v>
      </c>
      <c r="J108">
        <v>260</v>
      </c>
      <c r="K108" t="s">
        <v>133</v>
      </c>
      <c r="L108" t="s">
        <v>32</v>
      </c>
      <c r="M108" t="s">
        <v>468</v>
      </c>
      <c r="N108" t="s">
        <v>468</v>
      </c>
      <c r="O108">
        <v>18</v>
      </c>
      <c r="P108">
        <v>18</v>
      </c>
      <c r="Q108">
        <v>1199988</v>
      </c>
    </row>
    <row r="109" spans="1:17" x14ac:dyDescent="0.3">
      <c r="A109" t="s">
        <v>469</v>
      </c>
      <c r="B109" t="s">
        <v>69</v>
      </c>
      <c r="C109" t="s">
        <v>18</v>
      </c>
      <c r="D109" t="s">
        <v>11</v>
      </c>
      <c r="E109" t="s">
        <v>286</v>
      </c>
      <c r="F109">
        <v>4800</v>
      </c>
      <c r="G109" t="s">
        <v>20</v>
      </c>
      <c r="H109" t="s">
        <v>470</v>
      </c>
      <c r="I109">
        <v>250</v>
      </c>
      <c r="J109">
        <v>350</v>
      </c>
      <c r="K109" t="s">
        <v>93</v>
      </c>
      <c r="L109" t="s">
        <v>12</v>
      </c>
      <c r="M109" t="s">
        <v>471</v>
      </c>
      <c r="N109" t="s">
        <v>471</v>
      </c>
      <c r="O109">
        <v>25</v>
      </c>
      <c r="P109">
        <v>25</v>
      </c>
      <c r="Q109">
        <v>120000</v>
      </c>
    </row>
    <row r="110" spans="1:17" x14ac:dyDescent="0.3">
      <c r="A110" t="s">
        <v>472</v>
      </c>
      <c r="B110" t="s">
        <v>69</v>
      </c>
      <c r="C110" t="s">
        <v>13</v>
      </c>
      <c r="D110" t="s">
        <v>11</v>
      </c>
      <c r="E110" t="s">
        <v>286</v>
      </c>
      <c r="F110">
        <v>184615</v>
      </c>
      <c r="G110" t="s">
        <v>473</v>
      </c>
      <c r="H110" t="s">
        <v>474</v>
      </c>
      <c r="I110">
        <v>130</v>
      </c>
      <c r="J110">
        <v>200</v>
      </c>
      <c r="K110" t="s">
        <v>132</v>
      </c>
      <c r="L110" t="s">
        <v>51</v>
      </c>
      <c r="M110" t="s">
        <v>475</v>
      </c>
      <c r="N110" t="s">
        <v>475</v>
      </c>
      <c r="O110">
        <v>18.2</v>
      </c>
      <c r="P110">
        <v>18.2</v>
      </c>
      <c r="Q110">
        <v>3359993</v>
      </c>
    </row>
    <row r="111" spans="1:17" x14ac:dyDescent="0.3">
      <c r="A111" t="s">
        <v>476</v>
      </c>
      <c r="B111" t="s">
        <v>69</v>
      </c>
      <c r="C111" t="s">
        <v>13</v>
      </c>
      <c r="D111" t="s">
        <v>11</v>
      </c>
      <c r="E111" t="s">
        <v>278</v>
      </c>
      <c r="F111">
        <v>92307</v>
      </c>
      <c r="G111" t="s">
        <v>477</v>
      </c>
      <c r="H111" t="s">
        <v>478</v>
      </c>
      <c r="I111">
        <v>130</v>
      </c>
      <c r="J111">
        <v>200</v>
      </c>
      <c r="K111" t="s">
        <v>132</v>
      </c>
      <c r="L111" t="s">
        <v>51</v>
      </c>
      <c r="M111" t="s">
        <v>479</v>
      </c>
      <c r="N111" t="s">
        <v>479</v>
      </c>
      <c r="O111">
        <v>18.2</v>
      </c>
      <c r="P111">
        <v>18.2</v>
      </c>
      <c r="Q111">
        <v>1679987.4</v>
      </c>
    </row>
    <row r="112" spans="1:17" x14ac:dyDescent="0.3">
      <c r="A112" t="s">
        <v>480</v>
      </c>
      <c r="B112" t="s">
        <v>69</v>
      </c>
      <c r="C112" t="s">
        <v>13</v>
      </c>
      <c r="D112" t="s">
        <v>11</v>
      </c>
      <c r="E112" t="s">
        <v>278</v>
      </c>
      <c r="F112">
        <v>80000</v>
      </c>
      <c r="G112" t="s">
        <v>477</v>
      </c>
      <c r="H112" t="s">
        <v>52</v>
      </c>
      <c r="I112">
        <v>150</v>
      </c>
      <c r="J112">
        <v>220</v>
      </c>
      <c r="K112" t="s">
        <v>132</v>
      </c>
      <c r="L112" t="s">
        <v>51</v>
      </c>
      <c r="M112" t="s">
        <v>481</v>
      </c>
      <c r="N112" t="s">
        <v>481</v>
      </c>
      <c r="O112">
        <v>21</v>
      </c>
      <c r="P112">
        <v>21</v>
      </c>
      <c r="Q112">
        <v>1680000</v>
      </c>
    </row>
    <row r="113" spans="1:17" x14ac:dyDescent="0.3">
      <c r="A113" t="s">
        <v>411</v>
      </c>
      <c r="B113" t="s">
        <v>412</v>
      </c>
      <c r="C113" t="s">
        <v>13</v>
      </c>
      <c r="D113" t="s">
        <v>11</v>
      </c>
      <c r="E113" t="s">
        <v>278</v>
      </c>
      <c r="F113">
        <v>33333</v>
      </c>
      <c r="G113" t="s">
        <v>413</v>
      </c>
      <c r="H113" t="s">
        <v>414</v>
      </c>
      <c r="I113">
        <v>180</v>
      </c>
      <c r="J113">
        <v>190</v>
      </c>
      <c r="K113" t="s">
        <v>133</v>
      </c>
      <c r="L113" t="s">
        <v>32</v>
      </c>
      <c r="M113" t="s">
        <v>415</v>
      </c>
      <c r="N113" t="s">
        <v>415</v>
      </c>
      <c r="O113">
        <v>18</v>
      </c>
      <c r="P113">
        <v>18</v>
      </c>
      <c r="Q113">
        <v>599994</v>
      </c>
    </row>
    <row r="114" spans="1:17" x14ac:dyDescent="0.3">
      <c r="A114" t="s">
        <v>416</v>
      </c>
      <c r="B114" t="s">
        <v>412</v>
      </c>
      <c r="C114" t="s">
        <v>13</v>
      </c>
      <c r="D114" t="s">
        <v>11</v>
      </c>
      <c r="E114" t="s">
        <v>210</v>
      </c>
      <c r="F114">
        <v>109090</v>
      </c>
      <c r="G114" t="s">
        <v>417</v>
      </c>
      <c r="H114" t="s">
        <v>418</v>
      </c>
      <c r="I114">
        <v>110</v>
      </c>
      <c r="J114">
        <v>270</v>
      </c>
      <c r="K114" t="s">
        <v>97</v>
      </c>
      <c r="L114" t="s">
        <v>98</v>
      </c>
      <c r="M114" t="s">
        <v>419</v>
      </c>
      <c r="N114" t="s">
        <v>419</v>
      </c>
      <c r="O114">
        <v>5</v>
      </c>
      <c r="P114">
        <v>5</v>
      </c>
      <c r="Q114">
        <v>545450</v>
      </c>
    </row>
    <row r="115" spans="1:17" x14ac:dyDescent="0.3">
      <c r="A115" t="s">
        <v>420</v>
      </c>
      <c r="B115" t="s">
        <v>412</v>
      </c>
      <c r="C115" t="s">
        <v>13</v>
      </c>
      <c r="D115" t="s">
        <v>11</v>
      </c>
      <c r="E115" t="s">
        <v>210</v>
      </c>
      <c r="F115">
        <v>104347</v>
      </c>
      <c r="G115" t="s">
        <v>421</v>
      </c>
      <c r="H115" t="s">
        <v>422</v>
      </c>
      <c r="I115">
        <v>115</v>
      </c>
      <c r="J115">
        <v>160</v>
      </c>
      <c r="K115" t="s">
        <v>96</v>
      </c>
      <c r="L115" t="s">
        <v>24</v>
      </c>
      <c r="M115" t="s">
        <v>423</v>
      </c>
      <c r="N115" t="s">
        <v>423</v>
      </c>
      <c r="O115">
        <v>5</v>
      </c>
      <c r="P115">
        <v>4</v>
      </c>
      <c r="Q115">
        <v>417388</v>
      </c>
    </row>
    <row r="116" spans="1:17" x14ac:dyDescent="0.3">
      <c r="A116" t="s">
        <v>424</v>
      </c>
      <c r="B116" t="s">
        <v>412</v>
      </c>
      <c r="C116" t="s">
        <v>13</v>
      </c>
      <c r="D116" t="s">
        <v>11</v>
      </c>
      <c r="E116" t="s">
        <v>206</v>
      </c>
      <c r="F116">
        <v>12121</v>
      </c>
      <c r="G116" t="s">
        <v>425</v>
      </c>
      <c r="H116" t="s">
        <v>426</v>
      </c>
      <c r="I116">
        <v>165</v>
      </c>
      <c r="J116">
        <v>310</v>
      </c>
      <c r="K116" t="s">
        <v>93</v>
      </c>
      <c r="L116" t="s">
        <v>12</v>
      </c>
      <c r="M116" t="s">
        <v>427</v>
      </c>
      <c r="N116" t="s">
        <v>427</v>
      </c>
      <c r="O116">
        <v>16</v>
      </c>
      <c r="P116">
        <v>16</v>
      </c>
      <c r="Q116">
        <v>193936</v>
      </c>
    </row>
    <row r="117" spans="1:17" x14ac:dyDescent="0.3">
      <c r="A117" t="s">
        <v>428</v>
      </c>
      <c r="B117" t="s">
        <v>412</v>
      </c>
      <c r="C117" t="s">
        <v>13</v>
      </c>
      <c r="D117" t="s">
        <v>11</v>
      </c>
      <c r="E117" t="s">
        <v>286</v>
      </c>
      <c r="F117">
        <v>26086</v>
      </c>
      <c r="G117" t="s">
        <v>23</v>
      </c>
      <c r="H117" t="s">
        <v>39</v>
      </c>
      <c r="I117">
        <v>230</v>
      </c>
      <c r="J117">
        <v>320</v>
      </c>
      <c r="K117" t="s">
        <v>97</v>
      </c>
      <c r="L117" t="s">
        <v>98</v>
      </c>
      <c r="M117" t="s">
        <v>152</v>
      </c>
      <c r="N117" t="s">
        <v>152</v>
      </c>
      <c r="O117">
        <v>6</v>
      </c>
      <c r="P117">
        <v>6</v>
      </c>
      <c r="Q117">
        <v>156516</v>
      </c>
    </row>
    <row r="118" spans="1:17" x14ac:dyDescent="0.3">
      <c r="A118" t="s">
        <v>429</v>
      </c>
      <c r="B118" t="s">
        <v>412</v>
      </c>
      <c r="C118" t="s">
        <v>10</v>
      </c>
      <c r="D118" t="s">
        <v>11</v>
      </c>
      <c r="E118" t="s">
        <v>210</v>
      </c>
      <c r="F118">
        <v>20000</v>
      </c>
      <c r="G118" t="s">
        <v>80</v>
      </c>
      <c r="H118" t="s">
        <v>430</v>
      </c>
      <c r="I118">
        <v>300</v>
      </c>
      <c r="J118">
        <v>410</v>
      </c>
      <c r="K118" t="s">
        <v>97</v>
      </c>
      <c r="L118" t="s">
        <v>98</v>
      </c>
      <c r="M118" t="s">
        <v>431</v>
      </c>
      <c r="N118" t="s">
        <v>431</v>
      </c>
      <c r="O118">
        <v>8</v>
      </c>
      <c r="P118">
        <v>8</v>
      </c>
      <c r="Q118">
        <v>160000</v>
      </c>
    </row>
    <row r="119" spans="1:17" x14ac:dyDescent="0.3">
      <c r="A119" t="s">
        <v>432</v>
      </c>
      <c r="B119" t="s">
        <v>412</v>
      </c>
      <c r="C119" t="s">
        <v>13</v>
      </c>
      <c r="D119" t="s">
        <v>11</v>
      </c>
      <c r="E119" t="s">
        <v>210</v>
      </c>
      <c r="F119">
        <v>27272</v>
      </c>
      <c r="G119" t="s">
        <v>80</v>
      </c>
      <c r="H119" t="s">
        <v>433</v>
      </c>
      <c r="I119">
        <v>220</v>
      </c>
      <c r="J119">
        <v>300</v>
      </c>
      <c r="K119" t="s">
        <v>97</v>
      </c>
      <c r="L119" t="s">
        <v>98</v>
      </c>
      <c r="M119" t="s">
        <v>162</v>
      </c>
      <c r="N119" t="s">
        <v>162</v>
      </c>
      <c r="O119">
        <v>6</v>
      </c>
      <c r="P119">
        <v>6</v>
      </c>
      <c r="Q119">
        <v>163632</v>
      </c>
    </row>
    <row r="120" spans="1:17" x14ac:dyDescent="0.3">
      <c r="A120" t="s">
        <v>434</v>
      </c>
      <c r="B120" t="s">
        <v>435</v>
      </c>
      <c r="C120" t="s">
        <v>18</v>
      </c>
      <c r="D120" t="s">
        <v>11</v>
      </c>
      <c r="E120" t="s">
        <v>278</v>
      </c>
      <c r="F120">
        <v>75000</v>
      </c>
      <c r="G120" t="s">
        <v>23</v>
      </c>
      <c r="H120" t="s">
        <v>436</v>
      </c>
      <c r="I120">
        <v>160</v>
      </c>
      <c r="J120">
        <v>250</v>
      </c>
      <c r="K120" t="s">
        <v>97</v>
      </c>
      <c r="L120" t="s">
        <v>98</v>
      </c>
      <c r="M120" t="s">
        <v>437</v>
      </c>
      <c r="N120" t="s">
        <v>437</v>
      </c>
      <c r="O120">
        <v>5</v>
      </c>
      <c r="P120">
        <v>5</v>
      </c>
      <c r="Q120">
        <v>375000</v>
      </c>
    </row>
    <row r="121" spans="1:17" x14ac:dyDescent="0.3">
      <c r="A121" t="s">
        <v>438</v>
      </c>
      <c r="B121" t="s">
        <v>435</v>
      </c>
      <c r="C121" t="s">
        <v>10</v>
      </c>
      <c r="D121" t="s">
        <v>11</v>
      </c>
      <c r="E121" t="s">
        <v>278</v>
      </c>
      <c r="F121">
        <v>17647</v>
      </c>
      <c r="G121" t="s">
        <v>85</v>
      </c>
      <c r="H121" t="s">
        <v>439</v>
      </c>
      <c r="I121">
        <v>340</v>
      </c>
      <c r="J121">
        <v>430</v>
      </c>
      <c r="K121" t="s">
        <v>97</v>
      </c>
      <c r="L121" t="s">
        <v>98</v>
      </c>
      <c r="M121" t="s">
        <v>440</v>
      </c>
      <c r="N121" t="s">
        <v>440</v>
      </c>
      <c r="O121">
        <v>9</v>
      </c>
      <c r="P121">
        <v>9</v>
      </c>
      <c r="Q121">
        <v>158823</v>
      </c>
    </row>
    <row r="122" spans="1:17" x14ac:dyDescent="0.3">
      <c r="A122" t="s">
        <v>441</v>
      </c>
      <c r="B122" t="s">
        <v>412</v>
      </c>
      <c r="C122" t="s">
        <v>18</v>
      </c>
      <c r="D122" t="s">
        <v>11</v>
      </c>
      <c r="E122" t="s">
        <v>210</v>
      </c>
      <c r="F122">
        <v>15789</v>
      </c>
      <c r="G122" t="s">
        <v>442</v>
      </c>
      <c r="H122" t="s">
        <v>443</v>
      </c>
      <c r="I122">
        <v>190</v>
      </c>
      <c r="J122">
        <v>265</v>
      </c>
      <c r="K122" t="s">
        <v>97</v>
      </c>
      <c r="L122" t="s">
        <v>98</v>
      </c>
      <c r="M122" t="s">
        <v>444</v>
      </c>
      <c r="N122" t="s">
        <v>444</v>
      </c>
      <c r="O122">
        <v>5</v>
      </c>
      <c r="P122">
        <v>5</v>
      </c>
      <c r="Q122">
        <v>78945</v>
      </c>
    </row>
    <row r="123" spans="1:17" x14ac:dyDescent="0.3">
      <c r="A123" t="s">
        <v>445</v>
      </c>
      <c r="B123" t="s">
        <v>412</v>
      </c>
      <c r="C123" t="s">
        <v>18</v>
      </c>
      <c r="D123" t="s">
        <v>11</v>
      </c>
      <c r="E123" t="s">
        <v>210</v>
      </c>
      <c r="F123">
        <v>15789</v>
      </c>
      <c r="G123" t="s">
        <v>442</v>
      </c>
      <c r="H123" t="s">
        <v>443</v>
      </c>
      <c r="I123">
        <v>190</v>
      </c>
      <c r="J123">
        <v>265</v>
      </c>
      <c r="K123" t="s">
        <v>97</v>
      </c>
      <c r="L123" t="s">
        <v>98</v>
      </c>
      <c r="M123" t="s">
        <v>444</v>
      </c>
      <c r="N123" t="s">
        <v>444</v>
      </c>
      <c r="O123">
        <v>5</v>
      </c>
      <c r="P123">
        <v>5</v>
      </c>
      <c r="Q123">
        <v>78945</v>
      </c>
    </row>
    <row r="124" spans="1:17" x14ac:dyDescent="0.3">
      <c r="A124" t="s">
        <v>446</v>
      </c>
      <c r="B124" t="s">
        <v>435</v>
      </c>
      <c r="C124" t="s">
        <v>10</v>
      </c>
      <c r="D124" t="s">
        <v>11</v>
      </c>
      <c r="E124" t="s">
        <v>278</v>
      </c>
      <c r="F124">
        <v>20000</v>
      </c>
      <c r="G124" t="s">
        <v>85</v>
      </c>
      <c r="H124" t="s">
        <v>447</v>
      </c>
      <c r="I124">
        <v>300</v>
      </c>
      <c r="J124">
        <v>290</v>
      </c>
      <c r="K124" t="s">
        <v>97</v>
      </c>
      <c r="L124" t="s">
        <v>98</v>
      </c>
      <c r="M124" t="s">
        <v>149</v>
      </c>
      <c r="N124" t="s">
        <v>149</v>
      </c>
      <c r="O124">
        <v>8</v>
      </c>
      <c r="P124">
        <v>8</v>
      </c>
      <c r="Q124">
        <v>160000</v>
      </c>
    </row>
    <row r="125" spans="1:17" x14ac:dyDescent="0.3">
      <c r="A125" t="s">
        <v>448</v>
      </c>
      <c r="B125" t="s">
        <v>435</v>
      </c>
      <c r="C125" t="s">
        <v>18</v>
      </c>
      <c r="D125" t="s">
        <v>11</v>
      </c>
      <c r="E125" t="s">
        <v>278</v>
      </c>
      <c r="F125">
        <v>7500</v>
      </c>
      <c r="G125" t="s">
        <v>449</v>
      </c>
      <c r="H125" t="s">
        <v>450</v>
      </c>
      <c r="I125">
        <v>270</v>
      </c>
      <c r="J125">
        <v>400</v>
      </c>
      <c r="K125" t="s">
        <v>94</v>
      </c>
      <c r="L125" t="s">
        <v>95</v>
      </c>
      <c r="M125" t="s">
        <v>451</v>
      </c>
      <c r="N125" t="s">
        <v>452</v>
      </c>
      <c r="O125">
        <v>12</v>
      </c>
      <c r="P125">
        <v>12</v>
      </c>
      <c r="Q125">
        <v>90000</v>
      </c>
    </row>
    <row r="126" spans="1:17" x14ac:dyDescent="0.3">
      <c r="A126" t="s">
        <v>453</v>
      </c>
      <c r="B126" t="s">
        <v>435</v>
      </c>
      <c r="C126" t="s">
        <v>18</v>
      </c>
      <c r="D126" t="s">
        <v>11</v>
      </c>
      <c r="E126" t="s">
        <v>278</v>
      </c>
      <c r="F126">
        <v>12857</v>
      </c>
      <c r="G126" t="s">
        <v>23</v>
      </c>
      <c r="H126" t="s">
        <v>123</v>
      </c>
      <c r="I126">
        <v>270</v>
      </c>
      <c r="J126">
        <v>700</v>
      </c>
      <c r="K126" t="s">
        <v>94</v>
      </c>
      <c r="L126" t="s">
        <v>95</v>
      </c>
      <c r="M126" t="s">
        <v>169</v>
      </c>
      <c r="N126" t="s">
        <v>197</v>
      </c>
      <c r="O126">
        <v>16</v>
      </c>
      <c r="P126">
        <v>16</v>
      </c>
      <c r="Q126">
        <v>205712</v>
      </c>
    </row>
    <row r="127" spans="1:17" x14ac:dyDescent="0.3">
      <c r="A127" t="s">
        <v>454</v>
      </c>
      <c r="B127" t="s">
        <v>435</v>
      </c>
      <c r="C127" t="s">
        <v>13</v>
      </c>
      <c r="D127" t="s">
        <v>11</v>
      </c>
      <c r="E127" t="s">
        <v>278</v>
      </c>
      <c r="F127">
        <v>26086</v>
      </c>
      <c r="G127" t="s">
        <v>455</v>
      </c>
      <c r="H127" t="s">
        <v>456</v>
      </c>
      <c r="I127">
        <v>230</v>
      </c>
      <c r="J127">
        <v>310</v>
      </c>
      <c r="K127" t="s">
        <v>93</v>
      </c>
      <c r="L127" t="s">
        <v>12</v>
      </c>
      <c r="M127" t="s">
        <v>457</v>
      </c>
      <c r="N127" t="s">
        <v>457</v>
      </c>
      <c r="O127">
        <v>23</v>
      </c>
      <c r="P127">
        <v>23</v>
      </c>
      <c r="Q127">
        <v>599978</v>
      </c>
    </row>
    <row r="128" spans="1:17" x14ac:dyDescent="0.3">
      <c r="A128" t="s">
        <v>482</v>
      </c>
      <c r="B128" t="s">
        <v>208</v>
      </c>
      <c r="C128" t="s">
        <v>18</v>
      </c>
      <c r="D128" t="s">
        <v>11</v>
      </c>
      <c r="E128" t="s">
        <v>483</v>
      </c>
      <c r="F128">
        <v>15000</v>
      </c>
      <c r="G128" t="s">
        <v>23</v>
      </c>
      <c r="H128" t="s">
        <v>484</v>
      </c>
      <c r="I128">
        <v>400</v>
      </c>
      <c r="J128">
        <v>500</v>
      </c>
      <c r="K128" t="s">
        <v>97</v>
      </c>
      <c r="L128" t="s">
        <v>98</v>
      </c>
      <c r="M128" t="s">
        <v>485</v>
      </c>
      <c r="N128" t="s">
        <v>485</v>
      </c>
      <c r="O128">
        <v>10</v>
      </c>
      <c r="P128">
        <v>10</v>
      </c>
      <c r="Q128">
        <v>150000</v>
      </c>
    </row>
    <row r="129" spans="1:17" x14ac:dyDescent="0.3">
      <c r="A129" t="s">
        <v>486</v>
      </c>
      <c r="B129" t="s">
        <v>208</v>
      </c>
      <c r="C129" t="s">
        <v>13</v>
      </c>
      <c r="D129" t="s">
        <v>11</v>
      </c>
      <c r="E129" t="s">
        <v>483</v>
      </c>
      <c r="F129">
        <v>30000</v>
      </c>
      <c r="G129" t="s">
        <v>23</v>
      </c>
      <c r="H129" t="s">
        <v>119</v>
      </c>
      <c r="I129">
        <v>200</v>
      </c>
      <c r="J129">
        <v>300</v>
      </c>
      <c r="K129" t="s">
        <v>97</v>
      </c>
      <c r="L129" t="s">
        <v>98</v>
      </c>
      <c r="M129" t="s">
        <v>151</v>
      </c>
      <c r="N129" t="s">
        <v>151</v>
      </c>
      <c r="O129">
        <v>5</v>
      </c>
      <c r="P129">
        <v>5</v>
      </c>
      <c r="Q129">
        <v>150000</v>
      </c>
    </row>
    <row r="130" spans="1:17" x14ac:dyDescent="0.3">
      <c r="A130" t="s">
        <v>487</v>
      </c>
      <c r="B130" t="s">
        <v>208</v>
      </c>
      <c r="C130" t="s">
        <v>18</v>
      </c>
      <c r="D130" t="s">
        <v>11</v>
      </c>
      <c r="E130" t="s">
        <v>280</v>
      </c>
      <c r="F130">
        <v>17142</v>
      </c>
      <c r="G130" t="s">
        <v>488</v>
      </c>
      <c r="H130" t="s">
        <v>489</v>
      </c>
      <c r="I130">
        <v>350</v>
      </c>
      <c r="J130">
        <v>410</v>
      </c>
      <c r="K130" t="s">
        <v>97</v>
      </c>
      <c r="L130" t="s">
        <v>98</v>
      </c>
      <c r="M130" t="s">
        <v>490</v>
      </c>
      <c r="N130" t="s">
        <v>490</v>
      </c>
      <c r="O130">
        <v>9</v>
      </c>
      <c r="P130">
        <v>9</v>
      </c>
      <c r="Q130">
        <v>154278</v>
      </c>
    </row>
    <row r="131" spans="1:17" x14ac:dyDescent="0.3">
      <c r="A131" t="s">
        <v>491</v>
      </c>
      <c r="B131" t="s">
        <v>435</v>
      </c>
      <c r="C131" t="s">
        <v>10</v>
      </c>
      <c r="D131" t="s">
        <v>11</v>
      </c>
      <c r="E131" t="s">
        <v>283</v>
      </c>
      <c r="F131">
        <v>40000</v>
      </c>
      <c r="G131" t="s">
        <v>85</v>
      </c>
      <c r="H131" t="s">
        <v>86</v>
      </c>
      <c r="I131">
        <v>300</v>
      </c>
      <c r="J131">
        <v>420</v>
      </c>
      <c r="K131" t="s">
        <v>97</v>
      </c>
      <c r="L131" t="s">
        <v>98</v>
      </c>
      <c r="M131" t="s">
        <v>149</v>
      </c>
      <c r="N131" t="s">
        <v>149</v>
      </c>
      <c r="O131">
        <v>8</v>
      </c>
      <c r="P131">
        <v>8</v>
      </c>
      <c r="Q131">
        <v>320000</v>
      </c>
    </row>
    <row r="132" spans="1:17" x14ac:dyDescent="0.3">
      <c r="A132" t="s">
        <v>492</v>
      </c>
      <c r="B132" t="s">
        <v>435</v>
      </c>
      <c r="C132" t="s">
        <v>13</v>
      </c>
      <c r="D132" t="s">
        <v>11</v>
      </c>
      <c r="E132" t="s">
        <v>283</v>
      </c>
      <c r="F132">
        <v>10100</v>
      </c>
      <c r="G132" t="s">
        <v>493</v>
      </c>
      <c r="H132" t="s">
        <v>494</v>
      </c>
      <c r="I132">
        <v>150</v>
      </c>
      <c r="J132">
        <v>170</v>
      </c>
      <c r="K132" t="s">
        <v>132</v>
      </c>
      <c r="L132" t="s">
        <v>51</v>
      </c>
      <c r="M132" t="s">
        <v>495</v>
      </c>
      <c r="N132" t="s">
        <v>495</v>
      </c>
      <c r="O132">
        <v>21</v>
      </c>
      <c r="P132">
        <v>21</v>
      </c>
      <c r="Q132">
        <v>212100</v>
      </c>
    </row>
    <row r="133" spans="1:17" x14ac:dyDescent="0.3">
      <c r="A133" t="s">
        <v>496</v>
      </c>
      <c r="B133" t="s">
        <v>208</v>
      </c>
      <c r="C133" t="s">
        <v>13</v>
      </c>
      <c r="D133" t="s">
        <v>11</v>
      </c>
      <c r="E133" t="s">
        <v>283</v>
      </c>
      <c r="F133">
        <v>20000</v>
      </c>
      <c r="G133" t="s">
        <v>194</v>
      </c>
      <c r="H133" t="s">
        <v>497</v>
      </c>
      <c r="I133">
        <v>300</v>
      </c>
      <c r="J133">
        <v>430</v>
      </c>
      <c r="K133" t="s">
        <v>97</v>
      </c>
      <c r="L133" t="s">
        <v>98</v>
      </c>
      <c r="M133" t="s">
        <v>498</v>
      </c>
      <c r="N133" t="s">
        <v>498</v>
      </c>
      <c r="O133">
        <v>8</v>
      </c>
      <c r="P133">
        <v>8</v>
      </c>
      <c r="Q133">
        <v>160000</v>
      </c>
    </row>
    <row r="134" spans="1:17" x14ac:dyDescent="0.3">
      <c r="A134" t="s">
        <v>499</v>
      </c>
      <c r="B134" t="s">
        <v>208</v>
      </c>
      <c r="C134" t="s">
        <v>10</v>
      </c>
      <c r="D134" t="s">
        <v>11</v>
      </c>
      <c r="E134" t="s">
        <v>278</v>
      </c>
      <c r="F134">
        <v>6666</v>
      </c>
      <c r="G134" t="s">
        <v>25</v>
      </c>
      <c r="H134" t="s">
        <v>500</v>
      </c>
      <c r="I134">
        <v>550</v>
      </c>
      <c r="J134">
        <v>900</v>
      </c>
      <c r="K134" t="s">
        <v>94</v>
      </c>
      <c r="L134" t="s">
        <v>95</v>
      </c>
      <c r="M134" t="s">
        <v>501</v>
      </c>
      <c r="N134" t="s">
        <v>502</v>
      </c>
      <c r="O134">
        <v>18</v>
      </c>
      <c r="P134">
        <v>18</v>
      </c>
      <c r="Q134">
        <v>119988</v>
      </c>
    </row>
    <row r="135" spans="1:17" x14ac:dyDescent="0.3">
      <c r="A135" t="s">
        <v>503</v>
      </c>
      <c r="B135" t="s">
        <v>435</v>
      </c>
      <c r="C135" t="s">
        <v>10</v>
      </c>
      <c r="D135" t="s">
        <v>11</v>
      </c>
      <c r="E135" t="s">
        <v>286</v>
      </c>
      <c r="F135">
        <v>48000</v>
      </c>
      <c r="G135" t="s">
        <v>30</v>
      </c>
      <c r="H135" t="s">
        <v>504</v>
      </c>
      <c r="I135">
        <v>250</v>
      </c>
      <c r="J135">
        <v>280</v>
      </c>
      <c r="K135" t="s">
        <v>93</v>
      </c>
      <c r="L135" t="s">
        <v>12</v>
      </c>
      <c r="M135" t="s">
        <v>160</v>
      </c>
      <c r="N135" t="s">
        <v>160</v>
      </c>
      <c r="O135">
        <v>25</v>
      </c>
      <c r="P135">
        <v>25</v>
      </c>
      <c r="Q135">
        <v>1200000</v>
      </c>
    </row>
    <row r="136" spans="1:17" x14ac:dyDescent="0.3">
      <c r="A136" t="s">
        <v>505</v>
      </c>
      <c r="B136" t="s">
        <v>208</v>
      </c>
      <c r="C136" t="s">
        <v>13</v>
      </c>
      <c r="D136" t="s">
        <v>11</v>
      </c>
      <c r="E136" t="s">
        <v>283</v>
      </c>
      <c r="F136">
        <v>40000</v>
      </c>
      <c r="G136" t="s">
        <v>506</v>
      </c>
      <c r="H136" t="s">
        <v>52</v>
      </c>
      <c r="I136">
        <v>150</v>
      </c>
      <c r="J136">
        <v>220</v>
      </c>
      <c r="K136" t="s">
        <v>132</v>
      </c>
      <c r="L136" t="s">
        <v>51</v>
      </c>
      <c r="M136" t="s">
        <v>507</v>
      </c>
      <c r="N136" t="s">
        <v>507</v>
      </c>
      <c r="O136">
        <v>21</v>
      </c>
      <c r="P136">
        <v>21</v>
      </c>
      <c r="Q136">
        <v>840000</v>
      </c>
    </row>
    <row r="137" spans="1:17" x14ac:dyDescent="0.3">
      <c r="A137" t="s">
        <v>508</v>
      </c>
      <c r="B137" t="s">
        <v>208</v>
      </c>
      <c r="C137" t="s">
        <v>18</v>
      </c>
      <c r="D137" t="s">
        <v>11</v>
      </c>
      <c r="E137" t="s">
        <v>283</v>
      </c>
      <c r="F137">
        <v>9230</v>
      </c>
      <c r="G137" t="s">
        <v>42</v>
      </c>
      <c r="H137" t="s">
        <v>509</v>
      </c>
      <c r="I137">
        <v>400</v>
      </c>
      <c r="J137">
        <v>650</v>
      </c>
      <c r="K137" t="s">
        <v>94</v>
      </c>
      <c r="L137" t="s">
        <v>95</v>
      </c>
      <c r="M137" t="s">
        <v>510</v>
      </c>
      <c r="N137" t="s">
        <v>511</v>
      </c>
      <c r="O137">
        <v>14</v>
      </c>
      <c r="P137">
        <v>14</v>
      </c>
      <c r="Q137">
        <v>129220</v>
      </c>
    </row>
    <row r="138" spans="1:17" x14ac:dyDescent="0.3">
      <c r="A138" t="s">
        <v>512</v>
      </c>
      <c r="B138" t="s">
        <v>208</v>
      </c>
      <c r="C138" t="s">
        <v>18</v>
      </c>
      <c r="D138" t="s">
        <v>11</v>
      </c>
      <c r="E138" t="s">
        <v>283</v>
      </c>
      <c r="F138">
        <v>18461</v>
      </c>
      <c r="G138" t="s">
        <v>42</v>
      </c>
      <c r="H138" t="s">
        <v>513</v>
      </c>
      <c r="I138">
        <v>360</v>
      </c>
      <c r="J138">
        <v>650</v>
      </c>
      <c r="K138" t="s">
        <v>94</v>
      </c>
      <c r="L138" t="s">
        <v>95</v>
      </c>
      <c r="M138" t="s">
        <v>514</v>
      </c>
      <c r="N138" t="s">
        <v>511</v>
      </c>
      <c r="O138">
        <v>14</v>
      </c>
      <c r="P138">
        <v>14</v>
      </c>
      <c r="Q138">
        <v>258454</v>
      </c>
    </row>
    <row r="139" spans="1:17" x14ac:dyDescent="0.3">
      <c r="A139" t="s">
        <v>515</v>
      </c>
      <c r="B139" t="s">
        <v>208</v>
      </c>
      <c r="C139" t="s">
        <v>13</v>
      </c>
      <c r="D139" t="s">
        <v>11</v>
      </c>
      <c r="E139" t="s">
        <v>483</v>
      </c>
      <c r="F139">
        <v>51428</v>
      </c>
      <c r="G139" t="s">
        <v>42</v>
      </c>
      <c r="H139" t="s">
        <v>516</v>
      </c>
      <c r="I139">
        <v>350</v>
      </c>
      <c r="J139">
        <v>450</v>
      </c>
      <c r="K139" t="s">
        <v>97</v>
      </c>
      <c r="L139" t="s">
        <v>98</v>
      </c>
      <c r="M139" t="s">
        <v>150</v>
      </c>
      <c r="N139" t="s">
        <v>150</v>
      </c>
      <c r="O139">
        <v>9</v>
      </c>
      <c r="P139">
        <v>9</v>
      </c>
      <c r="Q139">
        <v>462852</v>
      </c>
    </row>
    <row r="140" spans="1:17" x14ac:dyDescent="0.3">
      <c r="A140" t="s">
        <v>517</v>
      </c>
      <c r="B140" t="s">
        <v>208</v>
      </c>
      <c r="C140" t="s">
        <v>13</v>
      </c>
      <c r="D140" t="s">
        <v>11</v>
      </c>
      <c r="E140" t="s">
        <v>283</v>
      </c>
      <c r="F140">
        <v>48000</v>
      </c>
      <c r="G140" t="s">
        <v>42</v>
      </c>
      <c r="H140" t="s">
        <v>44</v>
      </c>
      <c r="I140">
        <v>250</v>
      </c>
      <c r="J140">
        <v>450</v>
      </c>
      <c r="K140" t="s">
        <v>97</v>
      </c>
      <c r="L140" t="s">
        <v>98</v>
      </c>
      <c r="M140" t="s">
        <v>518</v>
      </c>
      <c r="N140" t="s">
        <v>518</v>
      </c>
      <c r="O140">
        <v>7</v>
      </c>
      <c r="P140">
        <v>7</v>
      </c>
      <c r="Q140">
        <v>336000</v>
      </c>
    </row>
    <row r="141" spans="1:17" x14ac:dyDescent="0.3">
      <c r="A141" t="s">
        <v>519</v>
      </c>
      <c r="B141" t="s">
        <v>208</v>
      </c>
      <c r="C141" t="s">
        <v>13</v>
      </c>
      <c r="D141" t="s">
        <v>11</v>
      </c>
      <c r="E141" t="s">
        <v>278</v>
      </c>
      <c r="F141">
        <v>18750</v>
      </c>
      <c r="G141" t="s">
        <v>23</v>
      </c>
      <c r="H141" t="s">
        <v>520</v>
      </c>
      <c r="I141">
        <v>320</v>
      </c>
      <c r="J141">
        <v>320</v>
      </c>
      <c r="K141" t="s">
        <v>97</v>
      </c>
      <c r="L141" t="s">
        <v>98</v>
      </c>
      <c r="M141" t="s">
        <v>521</v>
      </c>
      <c r="N141" t="s">
        <v>521</v>
      </c>
      <c r="O141">
        <v>8</v>
      </c>
      <c r="P141">
        <v>8</v>
      </c>
      <c r="Q141">
        <v>150000</v>
      </c>
    </row>
    <row r="142" spans="1:17" x14ac:dyDescent="0.3">
      <c r="A142" t="s">
        <v>522</v>
      </c>
      <c r="B142" t="s">
        <v>208</v>
      </c>
      <c r="C142" t="s">
        <v>18</v>
      </c>
      <c r="D142" t="s">
        <v>11</v>
      </c>
      <c r="E142" t="s">
        <v>283</v>
      </c>
      <c r="F142">
        <v>18461</v>
      </c>
      <c r="G142" t="s">
        <v>42</v>
      </c>
      <c r="H142" t="s">
        <v>523</v>
      </c>
      <c r="I142">
        <v>350</v>
      </c>
      <c r="J142">
        <v>650</v>
      </c>
      <c r="K142" t="s">
        <v>94</v>
      </c>
      <c r="L142" t="s">
        <v>95</v>
      </c>
      <c r="M142" t="s">
        <v>524</v>
      </c>
      <c r="N142" t="s">
        <v>511</v>
      </c>
      <c r="O142">
        <v>14</v>
      </c>
      <c r="P142">
        <v>14</v>
      </c>
      <c r="Q142">
        <v>258454</v>
      </c>
    </row>
    <row r="143" spans="1:17" x14ac:dyDescent="0.3">
      <c r="A143" t="s">
        <v>525</v>
      </c>
      <c r="B143" t="s">
        <v>214</v>
      </c>
      <c r="C143" t="s">
        <v>13</v>
      </c>
      <c r="D143" t="s">
        <v>11</v>
      </c>
      <c r="E143" t="s">
        <v>526</v>
      </c>
      <c r="F143">
        <v>85714</v>
      </c>
      <c r="G143" t="s">
        <v>31</v>
      </c>
      <c r="H143" t="s">
        <v>527</v>
      </c>
      <c r="I143">
        <v>140</v>
      </c>
      <c r="J143">
        <v>220</v>
      </c>
      <c r="K143" t="s">
        <v>133</v>
      </c>
      <c r="L143" t="s">
        <v>32</v>
      </c>
      <c r="M143" t="s">
        <v>528</v>
      </c>
      <c r="N143" t="s">
        <v>528</v>
      </c>
      <c r="O143">
        <v>14</v>
      </c>
      <c r="P143">
        <v>14</v>
      </c>
      <c r="Q143">
        <v>1199996</v>
      </c>
    </row>
    <row r="144" spans="1:17" x14ac:dyDescent="0.3">
      <c r="A144" t="s">
        <v>529</v>
      </c>
      <c r="B144" t="s">
        <v>208</v>
      </c>
      <c r="C144" t="s">
        <v>13</v>
      </c>
      <c r="D144" t="s">
        <v>11</v>
      </c>
      <c r="E144" t="s">
        <v>483</v>
      </c>
      <c r="F144">
        <v>40000</v>
      </c>
      <c r="G144" t="s">
        <v>442</v>
      </c>
      <c r="H144" t="s">
        <v>530</v>
      </c>
      <c r="I144">
        <v>150</v>
      </c>
      <c r="J144">
        <v>220</v>
      </c>
      <c r="K144" t="s">
        <v>132</v>
      </c>
      <c r="L144" t="s">
        <v>51</v>
      </c>
      <c r="M144" t="s">
        <v>531</v>
      </c>
      <c r="N144" t="s">
        <v>531</v>
      </c>
      <c r="O144">
        <v>21</v>
      </c>
      <c r="P144">
        <v>21</v>
      </c>
      <c r="Q144">
        <v>840000</v>
      </c>
    </row>
    <row r="145" spans="1:17" x14ac:dyDescent="0.3">
      <c r="A145" t="s">
        <v>532</v>
      </c>
      <c r="B145" t="s">
        <v>208</v>
      </c>
      <c r="C145" t="s">
        <v>13</v>
      </c>
      <c r="D145" t="s">
        <v>11</v>
      </c>
      <c r="E145" t="s">
        <v>526</v>
      </c>
      <c r="F145">
        <v>34285</v>
      </c>
      <c r="G145" t="s">
        <v>533</v>
      </c>
      <c r="H145" t="s">
        <v>534</v>
      </c>
      <c r="I145">
        <v>175</v>
      </c>
      <c r="J145">
        <v>260</v>
      </c>
      <c r="K145" t="s">
        <v>133</v>
      </c>
      <c r="L145" t="s">
        <v>32</v>
      </c>
      <c r="M145" t="s">
        <v>535</v>
      </c>
      <c r="N145" t="s">
        <v>535</v>
      </c>
      <c r="O145">
        <v>17</v>
      </c>
      <c r="P145">
        <v>17</v>
      </c>
      <c r="Q145">
        <v>582845</v>
      </c>
    </row>
    <row r="146" spans="1:17" x14ac:dyDescent="0.3">
      <c r="A146" t="s">
        <v>536</v>
      </c>
      <c r="B146" t="s">
        <v>214</v>
      </c>
      <c r="C146" t="s">
        <v>13</v>
      </c>
      <c r="D146" t="s">
        <v>11</v>
      </c>
      <c r="E146" t="s">
        <v>483</v>
      </c>
      <c r="F146">
        <v>20000</v>
      </c>
      <c r="G146" t="s">
        <v>537</v>
      </c>
      <c r="H146" t="s">
        <v>538</v>
      </c>
      <c r="I146">
        <v>300</v>
      </c>
      <c r="J146">
        <v>400</v>
      </c>
      <c r="K146" t="s">
        <v>97</v>
      </c>
      <c r="L146" t="s">
        <v>98</v>
      </c>
      <c r="M146" t="s">
        <v>539</v>
      </c>
      <c r="N146" t="s">
        <v>539</v>
      </c>
      <c r="O146">
        <v>8</v>
      </c>
      <c r="P146">
        <v>8</v>
      </c>
      <c r="Q146">
        <v>160000</v>
      </c>
    </row>
    <row r="147" spans="1:17" x14ac:dyDescent="0.3">
      <c r="A147" t="s">
        <v>540</v>
      </c>
      <c r="B147" t="s">
        <v>214</v>
      </c>
      <c r="C147" t="s">
        <v>13</v>
      </c>
      <c r="D147" t="s">
        <v>11</v>
      </c>
      <c r="E147" t="s">
        <v>483</v>
      </c>
      <c r="F147">
        <v>20000</v>
      </c>
      <c r="G147" t="s">
        <v>537</v>
      </c>
      <c r="H147" t="s">
        <v>538</v>
      </c>
      <c r="I147">
        <v>300</v>
      </c>
      <c r="J147">
        <v>400</v>
      </c>
      <c r="K147" t="s">
        <v>97</v>
      </c>
      <c r="L147" t="s">
        <v>98</v>
      </c>
      <c r="M147" t="s">
        <v>539</v>
      </c>
      <c r="N147" t="s">
        <v>539</v>
      </c>
      <c r="O147">
        <v>8</v>
      </c>
      <c r="P147">
        <v>8</v>
      </c>
      <c r="Q147">
        <v>160000</v>
      </c>
    </row>
    <row r="148" spans="1:17" x14ac:dyDescent="0.3">
      <c r="A148" t="s">
        <v>541</v>
      </c>
      <c r="B148" t="s">
        <v>214</v>
      </c>
      <c r="C148" t="s">
        <v>13</v>
      </c>
      <c r="D148" t="s">
        <v>11</v>
      </c>
      <c r="E148" t="s">
        <v>483</v>
      </c>
      <c r="F148">
        <v>17142</v>
      </c>
      <c r="G148" t="s">
        <v>537</v>
      </c>
      <c r="H148" t="s">
        <v>542</v>
      </c>
      <c r="I148">
        <v>350</v>
      </c>
      <c r="J148">
        <v>400</v>
      </c>
      <c r="K148" t="s">
        <v>97</v>
      </c>
      <c r="L148" t="s">
        <v>98</v>
      </c>
      <c r="M148" t="s">
        <v>543</v>
      </c>
      <c r="N148" t="s">
        <v>543</v>
      </c>
      <c r="O148">
        <v>9</v>
      </c>
      <c r="P148">
        <v>9</v>
      </c>
      <c r="Q148">
        <v>154278</v>
      </c>
    </row>
    <row r="149" spans="1:17" x14ac:dyDescent="0.3">
      <c r="A149" t="s">
        <v>544</v>
      </c>
      <c r="B149" t="s">
        <v>214</v>
      </c>
      <c r="C149" t="s">
        <v>13</v>
      </c>
      <c r="D149" t="s">
        <v>11</v>
      </c>
      <c r="E149" t="s">
        <v>483</v>
      </c>
      <c r="F149">
        <v>17142</v>
      </c>
      <c r="G149" t="s">
        <v>537</v>
      </c>
      <c r="H149" t="s">
        <v>542</v>
      </c>
      <c r="I149">
        <v>350</v>
      </c>
      <c r="J149">
        <v>400</v>
      </c>
      <c r="K149" t="s">
        <v>97</v>
      </c>
      <c r="L149" t="s">
        <v>98</v>
      </c>
      <c r="M149" t="s">
        <v>543</v>
      </c>
      <c r="N149" t="s">
        <v>543</v>
      </c>
      <c r="O149">
        <v>9</v>
      </c>
      <c r="P149">
        <v>9</v>
      </c>
      <c r="Q149">
        <v>154278</v>
      </c>
    </row>
    <row r="150" spans="1:17" x14ac:dyDescent="0.3">
      <c r="A150" t="s">
        <v>545</v>
      </c>
      <c r="B150" t="s">
        <v>208</v>
      </c>
      <c r="C150" t="s">
        <v>10</v>
      </c>
      <c r="D150" t="s">
        <v>11</v>
      </c>
      <c r="E150" t="s">
        <v>278</v>
      </c>
      <c r="F150">
        <v>18750</v>
      </c>
      <c r="G150" t="s">
        <v>22</v>
      </c>
      <c r="H150" t="s">
        <v>546</v>
      </c>
      <c r="I150">
        <v>320</v>
      </c>
      <c r="J150">
        <v>480</v>
      </c>
      <c r="K150" t="s">
        <v>97</v>
      </c>
      <c r="L150" t="s">
        <v>98</v>
      </c>
      <c r="M150" t="s">
        <v>547</v>
      </c>
      <c r="N150" t="s">
        <v>547</v>
      </c>
      <c r="O150">
        <v>8</v>
      </c>
      <c r="P150">
        <v>8</v>
      </c>
      <c r="Q150">
        <v>150000</v>
      </c>
    </row>
    <row r="151" spans="1:17" x14ac:dyDescent="0.3">
      <c r="A151" t="s">
        <v>548</v>
      </c>
      <c r="B151" t="s">
        <v>212</v>
      </c>
      <c r="C151" t="s">
        <v>13</v>
      </c>
      <c r="D151" t="s">
        <v>11</v>
      </c>
      <c r="E151" t="s">
        <v>483</v>
      </c>
      <c r="F151">
        <v>23076</v>
      </c>
      <c r="G151" t="s">
        <v>549</v>
      </c>
      <c r="H151" t="s">
        <v>550</v>
      </c>
      <c r="I151">
        <v>260</v>
      </c>
      <c r="J151">
        <v>415</v>
      </c>
      <c r="K151" t="s">
        <v>97</v>
      </c>
      <c r="L151" t="s">
        <v>98</v>
      </c>
      <c r="M151" t="s">
        <v>551</v>
      </c>
      <c r="N151" t="s">
        <v>551</v>
      </c>
      <c r="O151">
        <v>7</v>
      </c>
      <c r="P151">
        <v>7</v>
      </c>
      <c r="Q151">
        <v>161532</v>
      </c>
    </row>
    <row r="152" spans="1:17" x14ac:dyDescent="0.3">
      <c r="A152" t="s">
        <v>552</v>
      </c>
      <c r="B152" t="s">
        <v>212</v>
      </c>
      <c r="C152" t="s">
        <v>13</v>
      </c>
      <c r="D152" t="s">
        <v>11</v>
      </c>
      <c r="E152" t="s">
        <v>483</v>
      </c>
      <c r="F152">
        <v>27272</v>
      </c>
      <c r="G152" t="s">
        <v>553</v>
      </c>
      <c r="H152" t="s">
        <v>554</v>
      </c>
      <c r="I152">
        <v>220</v>
      </c>
      <c r="J152">
        <v>400</v>
      </c>
      <c r="K152" t="s">
        <v>97</v>
      </c>
      <c r="L152" t="s">
        <v>98</v>
      </c>
      <c r="M152" t="s">
        <v>555</v>
      </c>
      <c r="N152" t="s">
        <v>555</v>
      </c>
      <c r="O152">
        <v>6</v>
      </c>
      <c r="P152">
        <v>6</v>
      </c>
      <c r="Q152">
        <v>163632</v>
      </c>
    </row>
    <row r="153" spans="1:17" x14ac:dyDescent="0.3">
      <c r="A153" t="s">
        <v>556</v>
      </c>
      <c r="B153" t="s">
        <v>212</v>
      </c>
      <c r="C153" t="s">
        <v>10</v>
      </c>
      <c r="D153" t="s">
        <v>11</v>
      </c>
      <c r="E153" t="s">
        <v>526</v>
      </c>
      <c r="F153">
        <v>28571</v>
      </c>
      <c r="G153" t="s">
        <v>557</v>
      </c>
      <c r="H153" t="s">
        <v>558</v>
      </c>
      <c r="I153">
        <v>210</v>
      </c>
      <c r="J153">
        <v>300</v>
      </c>
      <c r="K153" t="s">
        <v>93</v>
      </c>
      <c r="L153" t="s">
        <v>12</v>
      </c>
      <c r="M153" t="s">
        <v>559</v>
      </c>
      <c r="N153" t="s">
        <v>559</v>
      </c>
      <c r="O153">
        <v>21</v>
      </c>
      <c r="P153">
        <v>21</v>
      </c>
      <c r="Q153">
        <v>599991</v>
      </c>
    </row>
    <row r="154" spans="1:17" x14ac:dyDescent="0.3">
      <c r="A154" t="s">
        <v>560</v>
      </c>
      <c r="B154" t="s">
        <v>212</v>
      </c>
      <c r="C154" t="s">
        <v>13</v>
      </c>
      <c r="D154" t="s">
        <v>11</v>
      </c>
      <c r="E154" t="s">
        <v>483</v>
      </c>
      <c r="F154">
        <v>31578</v>
      </c>
      <c r="G154" t="s">
        <v>42</v>
      </c>
      <c r="H154" t="s">
        <v>561</v>
      </c>
      <c r="I154">
        <v>190</v>
      </c>
      <c r="J154">
        <v>450</v>
      </c>
      <c r="K154" t="s">
        <v>97</v>
      </c>
      <c r="L154" t="s">
        <v>98</v>
      </c>
      <c r="M154" t="s">
        <v>562</v>
      </c>
      <c r="N154" t="s">
        <v>562</v>
      </c>
      <c r="O154">
        <v>5</v>
      </c>
      <c r="P154">
        <v>5</v>
      </c>
      <c r="Q154">
        <v>157890</v>
      </c>
    </row>
    <row r="155" spans="1:17" x14ac:dyDescent="0.3">
      <c r="A155" t="s">
        <v>563</v>
      </c>
      <c r="B155" t="s">
        <v>212</v>
      </c>
      <c r="C155" t="s">
        <v>13</v>
      </c>
      <c r="D155" t="s">
        <v>11</v>
      </c>
      <c r="E155" t="s">
        <v>526</v>
      </c>
      <c r="F155">
        <v>23076</v>
      </c>
      <c r="G155" t="s">
        <v>14</v>
      </c>
      <c r="H155" t="s">
        <v>230</v>
      </c>
      <c r="I155">
        <v>260</v>
      </c>
      <c r="J155">
        <v>320</v>
      </c>
      <c r="K155" t="s">
        <v>93</v>
      </c>
      <c r="L155" t="s">
        <v>12</v>
      </c>
      <c r="M155" t="s">
        <v>231</v>
      </c>
      <c r="N155" t="s">
        <v>231</v>
      </c>
      <c r="O155">
        <v>26</v>
      </c>
      <c r="P155">
        <v>26</v>
      </c>
      <c r="Q155">
        <v>599976</v>
      </c>
    </row>
    <row r="156" spans="1:17" x14ac:dyDescent="0.3">
      <c r="A156" t="s">
        <v>564</v>
      </c>
      <c r="B156" t="s">
        <v>212</v>
      </c>
      <c r="C156" t="s">
        <v>13</v>
      </c>
      <c r="D156" t="s">
        <v>11</v>
      </c>
      <c r="E156" t="s">
        <v>526</v>
      </c>
      <c r="F156">
        <v>21428</v>
      </c>
      <c r="G156" t="s">
        <v>106</v>
      </c>
      <c r="H156" t="s">
        <v>565</v>
      </c>
      <c r="I156">
        <v>280</v>
      </c>
      <c r="J156">
        <v>330</v>
      </c>
      <c r="K156" t="s">
        <v>97</v>
      </c>
      <c r="L156" t="s">
        <v>98</v>
      </c>
      <c r="M156" t="s">
        <v>566</v>
      </c>
      <c r="N156" t="s">
        <v>566</v>
      </c>
      <c r="O156">
        <v>7</v>
      </c>
      <c r="P156">
        <v>7</v>
      </c>
      <c r="Q156">
        <v>149996</v>
      </c>
    </row>
    <row r="157" spans="1:17" x14ac:dyDescent="0.3">
      <c r="A157" t="s">
        <v>567</v>
      </c>
      <c r="B157" t="s">
        <v>212</v>
      </c>
      <c r="C157" t="s">
        <v>13</v>
      </c>
      <c r="D157" t="s">
        <v>11</v>
      </c>
      <c r="E157" t="s">
        <v>526</v>
      </c>
      <c r="F157">
        <v>21428</v>
      </c>
      <c r="G157" t="s">
        <v>106</v>
      </c>
      <c r="H157" t="s">
        <v>568</v>
      </c>
      <c r="I157">
        <v>280</v>
      </c>
      <c r="J157">
        <v>330</v>
      </c>
      <c r="K157" t="s">
        <v>93</v>
      </c>
      <c r="L157" t="s">
        <v>12</v>
      </c>
      <c r="M157" t="s">
        <v>569</v>
      </c>
      <c r="N157" t="s">
        <v>569</v>
      </c>
      <c r="O157">
        <v>28</v>
      </c>
      <c r="P157">
        <v>28</v>
      </c>
      <c r="Q157">
        <v>599984</v>
      </c>
    </row>
    <row r="158" spans="1:17" x14ac:dyDescent="0.3">
      <c r="A158" t="s">
        <v>570</v>
      </c>
      <c r="B158" t="s">
        <v>212</v>
      </c>
      <c r="C158" t="s">
        <v>13</v>
      </c>
      <c r="D158" t="s">
        <v>11</v>
      </c>
      <c r="E158" t="s">
        <v>526</v>
      </c>
      <c r="F158">
        <v>20000</v>
      </c>
      <c r="G158" t="s">
        <v>106</v>
      </c>
      <c r="H158" t="s">
        <v>571</v>
      </c>
      <c r="I158">
        <v>300</v>
      </c>
      <c r="J158">
        <v>380</v>
      </c>
      <c r="K158" t="s">
        <v>93</v>
      </c>
      <c r="L158" t="s">
        <v>12</v>
      </c>
      <c r="M158" t="s">
        <v>572</v>
      </c>
      <c r="N158" t="s">
        <v>572</v>
      </c>
      <c r="O158">
        <v>30</v>
      </c>
      <c r="P158">
        <v>30</v>
      </c>
      <c r="Q158">
        <v>600000</v>
      </c>
    </row>
    <row r="159" spans="1:17" x14ac:dyDescent="0.3">
      <c r="A159" t="s">
        <v>573</v>
      </c>
      <c r="B159" t="s">
        <v>212</v>
      </c>
      <c r="C159" t="s">
        <v>13</v>
      </c>
      <c r="D159" t="s">
        <v>11</v>
      </c>
      <c r="E159" t="s">
        <v>526</v>
      </c>
      <c r="F159">
        <v>20689</v>
      </c>
      <c r="G159" t="s">
        <v>574</v>
      </c>
      <c r="H159" t="s">
        <v>575</v>
      </c>
      <c r="I159">
        <v>290</v>
      </c>
      <c r="J159">
        <v>390</v>
      </c>
      <c r="K159" t="s">
        <v>93</v>
      </c>
      <c r="L159" t="s">
        <v>12</v>
      </c>
      <c r="M159" t="s">
        <v>576</v>
      </c>
      <c r="N159" t="s">
        <v>576</v>
      </c>
      <c r="O159">
        <v>29</v>
      </c>
      <c r="P159">
        <v>29</v>
      </c>
      <c r="Q159">
        <v>599981</v>
      </c>
    </row>
    <row r="160" spans="1:17" x14ac:dyDescent="0.3">
      <c r="A160" t="s">
        <v>577</v>
      </c>
      <c r="B160" t="s">
        <v>212</v>
      </c>
      <c r="C160" t="s">
        <v>18</v>
      </c>
      <c r="D160" t="s">
        <v>11</v>
      </c>
      <c r="E160" t="s">
        <v>526</v>
      </c>
      <c r="F160">
        <v>22222</v>
      </c>
      <c r="G160" t="s">
        <v>578</v>
      </c>
      <c r="H160" t="s">
        <v>579</v>
      </c>
      <c r="I160">
        <v>180</v>
      </c>
      <c r="J160">
        <v>250</v>
      </c>
      <c r="K160" t="s">
        <v>93</v>
      </c>
      <c r="L160" t="s">
        <v>12</v>
      </c>
      <c r="M160" t="s">
        <v>580</v>
      </c>
      <c r="N160" t="s">
        <v>580</v>
      </c>
      <c r="O160">
        <v>18</v>
      </c>
      <c r="P160">
        <v>18</v>
      </c>
      <c r="Q160">
        <v>399996</v>
      </c>
    </row>
    <row r="161" spans="1:17" x14ac:dyDescent="0.3">
      <c r="A161" t="s">
        <v>581</v>
      </c>
      <c r="B161" t="s">
        <v>212</v>
      </c>
      <c r="C161" t="s">
        <v>13</v>
      </c>
      <c r="D161" t="s">
        <v>11</v>
      </c>
      <c r="E161" t="s">
        <v>483</v>
      </c>
      <c r="F161">
        <v>53333</v>
      </c>
      <c r="G161" t="s">
        <v>578</v>
      </c>
      <c r="H161" t="s">
        <v>582</v>
      </c>
      <c r="I161">
        <v>150</v>
      </c>
      <c r="J161">
        <v>320</v>
      </c>
      <c r="K161" t="s">
        <v>93</v>
      </c>
      <c r="L161" t="s">
        <v>12</v>
      </c>
      <c r="M161" t="s">
        <v>583</v>
      </c>
      <c r="N161" t="s">
        <v>583</v>
      </c>
      <c r="O161">
        <v>15</v>
      </c>
      <c r="P161">
        <v>15</v>
      </c>
      <c r="Q161">
        <v>799995</v>
      </c>
    </row>
    <row r="162" spans="1:17" x14ac:dyDescent="0.3">
      <c r="A162" t="s">
        <v>584</v>
      </c>
      <c r="B162" t="s">
        <v>237</v>
      </c>
      <c r="C162" t="s">
        <v>18</v>
      </c>
      <c r="D162" t="s">
        <v>11</v>
      </c>
      <c r="E162" t="s">
        <v>239</v>
      </c>
      <c r="F162">
        <v>9230</v>
      </c>
      <c r="G162" t="s">
        <v>42</v>
      </c>
      <c r="H162" t="s">
        <v>585</v>
      </c>
      <c r="I162">
        <v>400</v>
      </c>
      <c r="J162">
        <v>650</v>
      </c>
      <c r="K162" t="s">
        <v>94</v>
      </c>
      <c r="L162" t="s">
        <v>95</v>
      </c>
      <c r="M162" t="s">
        <v>510</v>
      </c>
      <c r="N162" t="s">
        <v>511</v>
      </c>
      <c r="O162">
        <v>14</v>
      </c>
      <c r="P162">
        <v>14</v>
      </c>
      <c r="Q162">
        <v>129220</v>
      </c>
    </row>
    <row r="163" spans="1:17" x14ac:dyDescent="0.3">
      <c r="A163" t="s">
        <v>586</v>
      </c>
      <c r="B163" t="s">
        <v>237</v>
      </c>
      <c r="C163" t="s">
        <v>13</v>
      </c>
      <c r="D163" t="s">
        <v>11</v>
      </c>
      <c r="E163" t="s">
        <v>239</v>
      </c>
      <c r="F163">
        <v>21818</v>
      </c>
      <c r="G163" t="s">
        <v>121</v>
      </c>
      <c r="H163" t="s">
        <v>125</v>
      </c>
      <c r="I163">
        <v>400</v>
      </c>
      <c r="J163">
        <v>550</v>
      </c>
      <c r="K163" t="s">
        <v>94</v>
      </c>
      <c r="L163" t="s">
        <v>95</v>
      </c>
      <c r="M163" t="s">
        <v>587</v>
      </c>
      <c r="N163" t="s">
        <v>588</v>
      </c>
      <c r="O163">
        <v>12</v>
      </c>
      <c r="P163">
        <v>12</v>
      </c>
      <c r="Q163">
        <v>261816</v>
      </c>
    </row>
    <row r="164" spans="1:17" x14ac:dyDescent="0.3">
      <c r="A164" t="s">
        <v>589</v>
      </c>
      <c r="B164" t="s">
        <v>237</v>
      </c>
      <c r="C164" t="s">
        <v>10</v>
      </c>
      <c r="D164" t="s">
        <v>11</v>
      </c>
      <c r="E164" t="s">
        <v>280</v>
      </c>
      <c r="F164">
        <v>326530</v>
      </c>
      <c r="G164" t="s">
        <v>25</v>
      </c>
      <c r="H164" t="s">
        <v>590</v>
      </c>
      <c r="I164">
        <v>147</v>
      </c>
      <c r="J164">
        <v>175</v>
      </c>
      <c r="K164" t="s">
        <v>96</v>
      </c>
      <c r="L164" t="s">
        <v>24</v>
      </c>
      <c r="M164" t="s">
        <v>591</v>
      </c>
      <c r="N164" t="s">
        <v>591</v>
      </c>
      <c r="O164">
        <v>5</v>
      </c>
      <c r="P164">
        <v>4</v>
      </c>
      <c r="Q164">
        <v>1306120</v>
      </c>
    </row>
    <row r="165" spans="1:17" x14ac:dyDescent="0.3">
      <c r="A165" t="s">
        <v>592</v>
      </c>
      <c r="B165" t="s">
        <v>237</v>
      </c>
      <c r="C165" t="s">
        <v>13</v>
      </c>
      <c r="D165" t="s">
        <v>11</v>
      </c>
      <c r="E165" t="s">
        <v>293</v>
      </c>
      <c r="F165">
        <v>54545</v>
      </c>
      <c r="G165" t="s">
        <v>442</v>
      </c>
      <c r="H165" t="s">
        <v>593</v>
      </c>
      <c r="I165">
        <v>110</v>
      </c>
      <c r="J165">
        <v>170</v>
      </c>
      <c r="K165" t="s">
        <v>132</v>
      </c>
      <c r="L165" t="s">
        <v>51</v>
      </c>
      <c r="M165" t="s">
        <v>594</v>
      </c>
      <c r="N165" t="s">
        <v>594</v>
      </c>
      <c r="O165">
        <v>15.4</v>
      </c>
      <c r="P165">
        <v>15.4</v>
      </c>
      <c r="Q165">
        <v>839993</v>
      </c>
    </row>
    <row r="166" spans="1:17" x14ac:dyDescent="0.3">
      <c r="A166" t="s">
        <v>595</v>
      </c>
      <c r="B166" t="s">
        <v>237</v>
      </c>
      <c r="C166" t="s">
        <v>13</v>
      </c>
      <c r="D166" t="s">
        <v>11</v>
      </c>
      <c r="E166" t="s">
        <v>239</v>
      </c>
      <c r="F166">
        <v>24000</v>
      </c>
      <c r="G166" t="s">
        <v>23</v>
      </c>
      <c r="H166" t="s">
        <v>596</v>
      </c>
      <c r="I166">
        <v>250</v>
      </c>
      <c r="J166">
        <v>350</v>
      </c>
      <c r="K166" t="s">
        <v>97</v>
      </c>
      <c r="L166" t="s">
        <v>98</v>
      </c>
      <c r="M166" t="s">
        <v>153</v>
      </c>
      <c r="N166" t="s">
        <v>153</v>
      </c>
      <c r="O166">
        <v>7</v>
      </c>
      <c r="P166">
        <v>7</v>
      </c>
      <c r="Q166">
        <v>168000</v>
      </c>
    </row>
    <row r="167" spans="1:17" x14ac:dyDescent="0.3">
      <c r="A167" t="s">
        <v>597</v>
      </c>
      <c r="B167" t="s">
        <v>237</v>
      </c>
      <c r="C167" t="s">
        <v>10</v>
      </c>
      <c r="D167" t="s">
        <v>11</v>
      </c>
      <c r="E167" t="s">
        <v>239</v>
      </c>
      <c r="F167">
        <v>80000</v>
      </c>
      <c r="G167" t="s">
        <v>598</v>
      </c>
      <c r="H167" t="s">
        <v>599</v>
      </c>
      <c r="I167">
        <v>100</v>
      </c>
      <c r="J167">
        <v>205</v>
      </c>
      <c r="K167" t="s">
        <v>97</v>
      </c>
      <c r="L167" t="s">
        <v>98</v>
      </c>
      <c r="M167" t="s">
        <v>600</v>
      </c>
      <c r="N167" t="s">
        <v>600</v>
      </c>
      <c r="O167">
        <v>5</v>
      </c>
      <c r="P167">
        <v>5</v>
      </c>
      <c r="Q167">
        <v>400000</v>
      </c>
    </row>
    <row r="168" spans="1:17" x14ac:dyDescent="0.3">
      <c r="A168" t="s">
        <v>601</v>
      </c>
      <c r="B168" t="s">
        <v>212</v>
      </c>
      <c r="C168" t="s">
        <v>18</v>
      </c>
      <c r="D168" t="s">
        <v>11</v>
      </c>
      <c r="E168" t="s">
        <v>526</v>
      </c>
      <c r="F168">
        <v>40000</v>
      </c>
      <c r="G168" t="s">
        <v>17</v>
      </c>
      <c r="H168" t="s">
        <v>602</v>
      </c>
      <c r="I168">
        <v>150</v>
      </c>
      <c r="J168">
        <v>310</v>
      </c>
      <c r="K168" t="s">
        <v>97</v>
      </c>
      <c r="L168" t="s">
        <v>98</v>
      </c>
      <c r="M168" t="s">
        <v>603</v>
      </c>
      <c r="N168" t="s">
        <v>603</v>
      </c>
      <c r="O168">
        <v>5</v>
      </c>
      <c r="P168">
        <v>5</v>
      </c>
      <c r="Q168">
        <v>200000</v>
      </c>
    </row>
    <row r="169" spans="1:17" x14ac:dyDescent="0.3">
      <c r="A169" t="s">
        <v>604</v>
      </c>
      <c r="B169" t="s">
        <v>212</v>
      </c>
      <c r="C169" t="s">
        <v>18</v>
      </c>
      <c r="D169" t="s">
        <v>11</v>
      </c>
      <c r="E169" t="s">
        <v>526</v>
      </c>
      <c r="F169">
        <v>92307</v>
      </c>
      <c r="G169" t="s">
        <v>17</v>
      </c>
      <c r="H169" t="s">
        <v>605</v>
      </c>
      <c r="I169">
        <v>130</v>
      </c>
      <c r="J169">
        <v>280</v>
      </c>
      <c r="K169" t="s">
        <v>97</v>
      </c>
      <c r="L169" t="s">
        <v>98</v>
      </c>
      <c r="M169" t="s">
        <v>606</v>
      </c>
      <c r="N169" t="s">
        <v>606</v>
      </c>
      <c r="O169">
        <v>5</v>
      </c>
      <c r="P169">
        <v>5</v>
      </c>
      <c r="Q169">
        <v>461535</v>
      </c>
    </row>
    <row r="170" spans="1:17" x14ac:dyDescent="0.3">
      <c r="A170" t="s">
        <v>607</v>
      </c>
      <c r="B170" t="s">
        <v>237</v>
      </c>
      <c r="C170" t="s">
        <v>13</v>
      </c>
      <c r="D170" t="s">
        <v>11</v>
      </c>
      <c r="E170" t="s">
        <v>239</v>
      </c>
      <c r="F170">
        <v>24000</v>
      </c>
      <c r="G170" t="s">
        <v>23</v>
      </c>
      <c r="H170" t="s">
        <v>105</v>
      </c>
      <c r="I170">
        <v>250</v>
      </c>
      <c r="J170">
        <v>320</v>
      </c>
      <c r="K170" t="s">
        <v>97</v>
      </c>
      <c r="L170" t="s">
        <v>98</v>
      </c>
      <c r="M170" t="s">
        <v>153</v>
      </c>
      <c r="N170" t="s">
        <v>153</v>
      </c>
      <c r="O170">
        <v>7</v>
      </c>
      <c r="P170">
        <v>7</v>
      </c>
      <c r="Q170">
        <v>168000</v>
      </c>
    </row>
    <row r="171" spans="1:17" x14ac:dyDescent="0.3">
      <c r="A171" t="s">
        <v>608</v>
      </c>
      <c r="B171" t="s">
        <v>212</v>
      </c>
      <c r="C171" t="s">
        <v>13</v>
      </c>
      <c r="D171" t="s">
        <v>11</v>
      </c>
      <c r="E171" t="s">
        <v>483</v>
      </c>
      <c r="F171">
        <v>11538</v>
      </c>
      <c r="G171" t="s">
        <v>17</v>
      </c>
      <c r="H171" t="s">
        <v>609</v>
      </c>
      <c r="I171">
        <v>260</v>
      </c>
      <c r="J171">
        <v>470</v>
      </c>
      <c r="K171" t="s">
        <v>97</v>
      </c>
      <c r="L171" t="s">
        <v>98</v>
      </c>
      <c r="M171" t="s">
        <v>610</v>
      </c>
      <c r="N171" t="s">
        <v>610</v>
      </c>
      <c r="O171">
        <v>7</v>
      </c>
      <c r="P171">
        <v>7</v>
      </c>
      <c r="Q171">
        <v>80766</v>
      </c>
    </row>
    <row r="172" spans="1:17" x14ac:dyDescent="0.3">
      <c r="A172" t="s">
        <v>611</v>
      </c>
      <c r="B172" t="s">
        <v>237</v>
      </c>
      <c r="C172" t="s">
        <v>13</v>
      </c>
      <c r="D172" t="s">
        <v>11</v>
      </c>
      <c r="E172" t="s">
        <v>526</v>
      </c>
      <c r="F172">
        <v>21428</v>
      </c>
      <c r="G172" t="s">
        <v>23</v>
      </c>
      <c r="H172" t="s">
        <v>612</v>
      </c>
      <c r="I172">
        <v>280</v>
      </c>
      <c r="J172">
        <v>350</v>
      </c>
      <c r="K172" t="s">
        <v>97</v>
      </c>
      <c r="L172" t="s">
        <v>98</v>
      </c>
      <c r="M172" t="s">
        <v>173</v>
      </c>
      <c r="N172" t="s">
        <v>173</v>
      </c>
      <c r="O172">
        <v>7</v>
      </c>
      <c r="P172">
        <v>7</v>
      </c>
      <c r="Q172">
        <v>149996</v>
      </c>
    </row>
    <row r="173" spans="1:17" x14ac:dyDescent="0.3">
      <c r="A173" t="s">
        <v>613</v>
      </c>
      <c r="B173" t="s">
        <v>237</v>
      </c>
      <c r="C173" t="s">
        <v>13</v>
      </c>
      <c r="D173" t="s">
        <v>11</v>
      </c>
      <c r="E173" t="s">
        <v>239</v>
      </c>
      <c r="F173">
        <v>40000</v>
      </c>
      <c r="G173" t="s">
        <v>121</v>
      </c>
      <c r="H173" t="s">
        <v>122</v>
      </c>
      <c r="I173">
        <v>300</v>
      </c>
      <c r="J173">
        <v>405</v>
      </c>
      <c r="K173" t="s">
        <v>97</v>
      </c>
      <c r="L173" t="s">
        <v>98</v>
      </c>
      <c r="M173" t="s">
        <v>145</v>
      </c>
      <c r="N173" t="s">
        <v>145</v>
      </c>
      <c r="O173">
        <v>8</v>
      </c>
      <c r="P173">
        <v>8</v>
      </c>
      <c r="Q173">
        <v>320000</v>
      </c>
    </row>
    <row r="174" spans="1:17" x14ac:dyDescent="0.3">
      <c r="A174" t="s">
        <v>614</v>
      </c>
      <c r="B174" t="s">
        <v>237</v>
      </c>
      <c r="C174" t="s">
        <v>10</v>
      </c>
      <c r="D174" t="s">
        <v>11</v>
      </c>
      <c r="E174" t="s">
        <v>204</v>
      </c>
      <c r="F174">
        <v>20000</v>
      </c>
      <c r="G174" t="s">
        <v>615</v>
      </c>
      <c r="H174" t="s">
        <v>616</v>
      </c>
      <c r="I174">
        <v>100</v>
      </c>
      <c r="J174">
        <v>500</v>
      </c>
      <c r="K174" t="s">
        <v>827</v>
      </c>
      <c r="L174" t="s">
        <v>617</v>
      </c>
      <c r="M174" t="s">
        <v>828</v>
      </c>
      <c r="N174" t="s">
        <v>828</v>
      </c>
      <c r="O174">
        <v>9</v>
      </c>
      <c r="P174">
        <v>9</v>
      </c>
      <c r="Q174">
        <v>180000</v>
      </c>
    </row>
    <row r="175" spans="1:17" x14ac:dyDescent="0.3">
      <c r="A175" t="s">
        <v>618</v>
      </c>
      <c r="B175" t="s">
        <v>204</v>
      </c>
      <c r="C175" t="s">
        <v>13</v>
      </c>
      <c r="D175" t="s">
        <v>11</v>
      </c>
      <c r="E175" t="s">
        <v>293</v>
      </c>
      <c r="F175">
        <v>15384</v>
      </c>
      <c r="G175" t="s">
        <v>28</v>
      </c>
      <c r="H175" t="s">
        <v>58</v>
      </c>
      <c r="I175">
        <v>195</v>
      </c>
      <c r="J175">
        <v>260</v>
      </c>
      <c r="K175" t="s">
        <v>93</v>
      </c>
      <c r="L175" t="s">
        <v>12</v>
      </c>
      <c r="M175" t="s">
        <v>165</v>
      </c>
      <c r="N175" t="s">
        <v>165</v>
      </c>
      <c r="O175">
        <v>19</v>
      </c>
      <c r="P175">
        <v>19</v>
      </c>
      <c r="Q175">
        <v>292296</v>
      </c>
    </row>
    <row r="176" spans="1:17" x14ac:dyDescent="0.3">
      <c r="A176" t="s">
        <v>619</v>
      </c>
      <c r="B176" t="s">
        <v>204</v>
      </c>
      <c r="C176" t="s">
        <v>13</v>
      </c>
      <c r="D176" t="s">
        <v>11</v>
      </c>
      <c r="E176" t="s">
        <v>293</v>
      </c>
      <c r="F176">
        <v>24000</v>
      </c>
      <c r="G176" t="s">
        <v>42</v>
      </c>
      <c r="H176" t="s">
        <v>44</v>
      </c>
      <c r="I176">
        <v>250</v>
      </c>
      <c r="J176">
        <v>450</v>
      </c>
      <c r="K176" t="s">
        <v>97</v>
      </c>
      <c r="L176" t="s">
        <v>98</v>
      </c>
      <c r="M176" t="s">
        <v>518</v>
      </c>
      <c r="N176" t="s">
        <v>518</v>
      </c>
      <c r="O176">
        <v>7</v>
      </c>
      <c r="P176">
        <v>7</v>
      </c>
      <c r="Q176">
        <v>168000</v>
      </c>
    </row>
    <row r="177" spans="1:17" x14ac:dyDescent="0.3">
      <c r="A177" t="s">
        <v>620</v>
      </c>
      <c r="B177" t="s">
        <v>204</v>
      </c>
      <c r="C177" t="s">
        <v>13</v>
      </c>
      <c r="D177" t="s">
        <v>11</v>
      </c>
      <c r="E177" t="s">
        <v>293</v>
      </c>
      <c r="F177">
        <v>15384</v>
      </c>
      <c r="G177" t="s">
        <v>28</v>
      </c>
      <c r="H177" t="s">
        <v>58</v>
      </c>
      <c r="I177">
        <v>195</v>
      </c>
      <c r="J177">
        <v>260</v>
      </c>
      <c r="K177" t="s">
        <v>93</v>
      </c>
      <c r="L177" t="s">
        <v>12</v>
      </c>
      <c r="M177" t="s">
        <v>165</v>
      </c>
      <c r="N177" t="s">
        <v>165</v>
      </c>
      <c r="O177">
        <v>19</v>
      </c>
      <c r="P177">
        <v>19</v>
      </c>
      <c r="Q177">
        <v>292296</v>
      </c>
    </row>
    <row r="178" spans="1:17" x14ac:dyDescent="0.3">
      <c r="A178" t="s">
        <v>621</v>
      </c>
      <c r="B178" t="s">
        <v>204</v>
      </c>
      <c r="C178" t="s">
        <v>18</v>
      </c>
      <c r="D178" t="s">
        <v>11</v>
      </c>
      <c r="E178" t="s">
        <v>293</v>
      </c>
      <c r="F178">
        <v>9230</v>
      </c>
      <c r="G178" t="s">
        <v>42</v>
      </c>
      <c r="H178" t="s">
        <v>523</v>
      </c>
      <c r="I178">
        <v>350</v>
      </c>
      <c r="J178">
        <v>650</v>
      </c>
      <c r="K178" t="s">
        <v>94</v>
      </c>
      <c r="L178" t="s">
        <v>95</v>
      </c>
      <c r="M178" t="s">
        <v>524</v>
      </c>
      <c r="N178" t="s">
        <v>511</v>
      </c>
      <c r="O178">
        <v>14</v>
      </c>
      <c r="P178">
        <v>14</v>
      </c>
      <c r="Q178">
        <v>129220</v>
      </c>
    </row>
    <row r="179" spans="1:17" x14ac:dyDescent="0.3">
      <c r="A179" t="s">
        <v>622</v>
      </c>
      <c r="B179" t="s">
        <v>204</v>
      </c>
      <c r="C179" t="s">
        <v>10</v>
      </c>
      <c r="D179" t="s">
        <v>11</v>
      </c>
      <c r="E179" t="s">
        <v>239</v>
      </c>
      <c r="F179">
        <v>10344</v>
      </c>
      <c r="G179" t="s">
        <v>623</v>
      </c>
      <c r="H179" t="s">
        <v>624</v>
      </c>
      <c r="I179">
        <v>580</v>
      </c>
      <c r="J179">
        <v>610</v>
      </c>
      <c r="K179" t="s">
        <v>97</v>
      </c>
      <c r="L179" t="s">
        <v>98</v>
      </c>
      <c r="M179" t="s">
        <v>625</v>
      </c>
      <c r="N179" t="s">
        <v>625</v>
      </c>
      <c r="O179">
        <v>15</v>
      </c>
      <c r="P179">
        <v>15</v>
      </c>
      <c r="Q179">
        <v>155160</v>
      </c>
    </row>
    <row r="180" spans="1:17" x14ac:dyDescent="0.3">
      <c r="A180" t="s">
        <v>626</v>
      </c>
      <c r="B180" t="s">
        <v>206</v>
      </c>
      <c r="C180" t="s">
        <v>13</v>
      </c>
      <c r="D180" t="s">
        <v>11</v>
      </c>
      <c r="E180" t="s">
        <v>280</v>
      </c>
      <c r="F180">
        <v>35294</v>
      </c>
      <c r="G180" t="s">
        <v>627</v>
      </c>
      <c r="H180" t="s">
        <v>628</v>
      </c>
      <c r="I180">
        <v>170</v>
      </c>
      <c r="J180">
        <v>210</v>
      </c>
      <c r="K180" t="s">
        <v>97</v>
      </c>
      <c r="L180" t="s">
        <v>98</v>
      </c>
      <c r="M180" t="s">
        <v>629</v>
      </c>
      <c r="N180" t="s">
        <v>629</v>
      </c>
      <c r="O180">
        <v>5</v>
      </c>
      <c r="P180">
        <v>5</v>
      </c>
      <c r="Q180">
        <v>176470</v>
      </c>
    </row>
    <row r="181" spans="1:17" x14ac:dyDescent="0.3">
      <c r="A181" t="s">
        <v>630</v>
      </c>
      <c r="B181" t="s">
        <v>206</v>
      </c>
      <c r="C181" t="s">
        <v>13</v>
      </c>
      <c r="D181" t="s">
        <v>11</v>
      </c>
      <c r="E181" t="s">
        <v>280</v>
      </c>
      <c r="F181">
        <v>37500</v>
      </c>
      <c r="G181" t="s">
        <v>23</v>
      </c>
      <c r="H181" t="s">
        <v>631</v>
      </c>
      <c r="I181">
        <v>160</v>
      </c>
      <c r="J181">
        <v>250</v>
      </c>
      <c r="K181" t="s">
        <v>97</v>
      </c>
      <c r="L181" t="s">
        <v>98</v>
      </c>
      <c r="M181" t="s">
        <v>437</v>
      </c>
      <c r="N181" t="s">
        <v>437</v>
      </c>
      <c r="O181">
        <v>5</v>
      </c>
      <c r="P181">
        <v>5</v>
      </c>
      <c r="Q181">
        <v>187500</v>
      </c>
    </row>
    <row r="182" spans="1:17" x14ac:dyDescent="0.3">
      <c r="A182" t="s">
        <v>632</v>
      </c>
      <c r="B182" t="s">
        <v>206</v>
      </c>
      <c r="C182" t="s">
        <v>13</v>
      </c>
      <c r="D182" t="s">
        <v>11</v>
      </c>
      <c r="E182" t="s">
        <v>280</v>
      </c>
      <c r="F182">
        <v>41379</v>
      </c>
      <c r="G182" t="s">
        <v>633</v>
      </c>
      <c r="H182" t="s">
        <v>634</v>
      </c>
      <c r="I182">
        <v>290</v>
      </c>
      <c r="J182">
        <v>370</v>
      </c>
      <c r="K182" t="s">
        <v>97</v>
      </c>
      <c r="L182" t="s">
        <v>98</v>
      </c>
      <c r="M182" t="s">
        <v>635</v>
      </c>
      <c r="N182" t="s">
        <v>635</v>
      </c>
      <c r="O182">
        <v>8</v>
      </c>
      <c r="P182">
        <v>8</v>
      </c>
      <c r="Q182">
        <v>331032</v>
      </c>
    </row>
    <row r="183" spans="1:17" x14ac:dyDescent="0.3">
      <c r="A183" t="s">
        <v>636</v>
      </c>
      <c r="B183" t="s">
        <v>206</v>
      </c>
      <c r="C183" t="s">
        <v>13</v>
      </c>
      <c r="D183" t="s">
        <v>11</v>
      </c>
      <c r="E183" t="s">
        <v>526</v>
      </c>
      <c r="F183">
        <v>17142</v>
      </c>
      <c r="G183" t="s">
        <v>25</v>
      </c>
      <c r="H183" t="s">
        <v>637</v>
      </c>
      <c r="I183">
        <v>350</v>
      </c>
      <c r="J183">
        <v>370</v>
      </c>
      <c r="K183" t="s">
        <v>97</v>
      </c>
      <c r="L183" t="s">
        <v>98</v>
      </c>
      <c r="M183" t="s">
        <v>638</v>
      </c>
      <c r="N183" t="s">
        <v>638</v>
      </c>
      <c r="O183">
        <v>9</v>
      </c>
      <c r="P183">
        <v>9</v>
      </c>
      <c r="Q183">
        <v>154278</v>
      </c>
    </row>
    <row r="184" spans="1:17" x14ac:dyDescent="0.3">
      <c r="A184" t="s">
        <v>639</v>
      </c>
      <c r="B184" t="s">
        <v>206</v>
      </c>
      <c r="C184" t="s">
        <v>13</v>
      </c>
      <c r="D184" t="s">
        <v>11</v>
      </c>
      <c r="E184" t="s">
        <v>640</v>
      </c>
      <c r="F184">
        <v>140077</v>
      </c>
      <c r="G184" t="s">
        <v>633</v>
      </c>
      <c r="H184" t="s">
        <v>641</v>
      </c>
      <c r="I184">
        <v>257</v>
      </c>
      <c r="J184">
        <v>330</v>
      </c>
      <c r="K184" t="s">
        <v>97</v>
      </c>
      <c r="L184" t="s">
        <v>98</v>
      </c>
      <c r="M184" t="s">
        <v>642</v>
      </c>
      <c r="N184" t="s">
        <v>642</v>
      </c>
      <c r="O184">
        <v>7</v>
      </c>
      <c r="P184">
        <v>7</v>
      </c>
      <c r="Q184">
        <v>980539</v>
      </c>
    </row>
    <row r="185" spans="1:17" x14ac:dyDescent="0.3">
      <c r="A185" t="s">
        <v>643</v>
      </c>
      <c r="B185" t="s">
        <v>206</v>
      </c>
      <c r="C185" t="s">
        <v>10</v>
      </c>
      <c r="D185" t="s">
        <v>11</v>
      </c>
      <c r="E185" t="s">
        <v>280</v>
      </c>
      <c r="F185">
        <v>66666</v>
      </c>
      <c r="G185" t="s">
        <v>644</v>
      </c>
      <c r="H185" t="s">
        <v>645</v>
      </c>
      <c r="I185">
        <v>90</v>
      </c>
      <c r="J185">
        <v>150</v>
      </c>
      <c r="K185" t="s">
        <v>96</v>
      </c>
      <c r="L185" t="s">
        <v>24</v>
      </c>
      <c r="M185" t="s">
        <v>646</v>
      </c>
      <c r="N185" t="s">
        <v>646</v>
      </c>
      <c r="O185">
        <v>5</v>
      </c>
      <c r="P185">
        <v>4</v>
      </c>
      <c r="Q185">
        <v>266664</v>
      </c>
    </row>
    <row r="186" spans="1:17" x14ac:dyDescent="0.3">
      <c r="A186" t="s">
        <v>647</v>
      </c>
      <c r="B186" t="s">
        <v>286</v>
      </c>
      <c r="C186" t="s">
        <v>10</v>
      </c>
      <c r="D186" t="s">
        <v>11</v>
      </c>
      <c r="E186" t="s">
        <v>648</v>
      </c>
      <c r="F186">
        <v>18750</v>
      </c>
      <c r="G186" t="s">
        <v>106</v>
      </c>
      <c r="H186" t="s">
        <v>398</v>
      </c>
      <c r="I186">
        <v>320</v>
      </c>
      <c r="J186">
        <v>520</v>
      </c>
      <c r="K186" t="s">
        <v>97</v>
      </c>
      <c r="L186" t="s">
        <v>98</v>
      </c>
      <c r="M186" t="s">
        <v>399</v>
      </c>
      <c r="N186" t="s">
        <v>399</v>
      </c>
      <c r="O186">
        <v>8</v>
      </c>
      <c r="P186">
        <v>8</v>
      </c>
      <c r="Q186">
        <v>150000</v>
      </c>
    </row>
    <row r="187" spans="1:17" x14ac:dyDescent="0.3">
      <c r="A187" t="s">
        <v>649</v>
      </c>
      <c r="B187" t="s">
        <v>286</v>
      </c>
      <c r="C187" t="s">
        <v>13</v>
      </c>
      <c r="D187" t="s">
        <v>11</v>
      </c>
      <c r="E187" t="s">
        <v>650</v>
      </c>
      <c r="F187">
        <v>7500</v>
      </c>
      <c r="G187" t="s">
        <v>651</v>
      </c>
      <c r="H187" t="s">
        <v>216</v>
      </c>
      <c r="I187">
        <v>400</v>
      </c>
      <c r="J187">
        <v>290</v>
      </c>
      <c r="K187" t="s">
        <v>133</v>
      </c>
      <c r="L187" t="s">
        <v>32</v>
      </c>
      <c r="M187" t="s">
        <v>652</v>
      </c>
      <c r="N187" t="s">
        <v>652</v>
      </c>
      <c r="O187">
        <v>40</v>
      </c>
      <c r="P187">
        <v>40</v>
      </c>
      <c r="Q187">
        <v>300000</v>
      </c>
    </row>
    <row r="188" spans="1:17" x14ac:dyDescent="0.3">
      <c r="A188" t="s">
        <v>653</v>
      </c>
      <c r="B188" t="s">
        <v>286</v>
      </c>
      <c r="C188" t="s">
        <v>13</v>
      </c>
      <c r="D188" t="s">
        <v>11</v>
      </c>
      <c r="E188" t="s">
        <v>648</v>
      </c>
      <c r="F188">
        <v>30769</v>
      </c>
      <c r="G188" t="s">
        <v>28</v>
      </c>
      <c r="H188" t="s">
        <v>58</v>
      </c>
      <c r="I188">
        <v>195</v>
      </c>
      <c r="J188">
        <v>260</v>
      </c>
      <c r="K188" t="s">
        <v>93</v>
      </c>
      <c r="L188" t="s">
        <v>12</v>
      </c>
      <c r="M188" t="s">
        <v>165</v>
      </c>
      <c r="N188" t="s">
        <v>165</v>
      </c>
      <c r="O188">
        <v>19</v>
      </c>
      <c r="P188">
        <v>19</v>
      </c>
      <c r="Q188">
        <v>584611</v>
      </c>
    </row>
    <row r="189" spans="1:17" x14ac:dyDescent="0.3">
      <c r="A189" t="s">
        <v>654</v>
      </c>
      <c r="B189" t="s">
        <v>286</v>
      </c>
      <c r="C189" t="s">
        <v>13</v>
      </c>
      <c r="D189" t="s">
        <v>11</v>
      </c>
      <c r="E189" t="s">
        <v>648</v>
      </c>
      <c r="F189">
        <v>30000</v>
      </c>
      <c r="G189" t="s">
        <v>655</v>
      </c>
      <c r="H189" t="s">
        <v>656</v>
      </c>
      <c r="I189">
        <v>65</v>
      </c>
      <c r="J189">
        <v>180</v>
      </c>
      <c r="K189" t="s">
        <v>97</v>
      </c>
      <c r="L189" t="s">
        <v>98</v>
      </c>
      <c r="M189" t="s">
        <v>657</v>
      </c>
      <c r="N189" t="s">
        <v>657</v>
      </c>
      <c r="O189">
        <v>5</v>
      </c>
      <c r="P189">
        <v>5</v>
      </c>
      <c r="Q189">
        <v>150000</v>
      </c>
    </row>
    <row r="190" spans="1:17" x14ac:dyDescent="0.3">
      <c r="A190" t="s">
        <v>658</v>
      </c>
      <c r="B190" t="s">
        <v>286</v>
      </c>
      <c r="C190" t="s">
        <v>18</v>
      </c>
      <c r="D190" t="s">
        <v>11</v>
      </c>
      <c r="E190" t="s">
        <v>293</v>
      </c>
      <c r="F190">
        <v>50000</v>
      </c>
      <c r="G190" t="s">
        <v>659</v>
      </c>
      <c r="H190" t="s">
        <v>660</v>
      </c>
      <c r="I190">
        <v>240</v>
      </c>
      <c r="J190">
        <v>280</v>
      </c>
      <c r="K190" t="s">
        <v>97</v>
      </c>
      <c r="L190" t="s">
        <v>98</v>
      </c>
      <c r="M190" t="s">
        <v>661</v>
      </c>
      <c r="N190" t="s">
        <v>661</v>
      </c>
      <c r="O190">
        <v>6</v>
      </c>
      <c r="P190">
        <v>6</v>
      </c>
      <c r="Q190">
        <v>300000</v>
      </c>
    </row>
    <row r="191" spans="1:17" x14ac:dyDescent="0.3">
      <c r="A191" t="s">
        <v>662</v>
      </c>
      <c r="B191" t="s">
        <v>206</v>
      </c>
      <c r="C191" t="s">
        <v>18</v>
      </c>
      <c r="D191" t="s">
        <v>11</v>
      </c>
      <c r="E191" t="s">
        <v>280</v>
      </c>
      <c r="F191">
        <v>28571</v>
      </c>
      <c r="G191" t="s">
        <v>663</v>
      </c>
      <c r="H191" t="s">
        <v>664</v>
      </c>
      <c r="I191">
        <v>210</v>
      </c>
      <c r="J191">
        <v>250</v>
      </c>
      <c r="K191" t="s">
        <v>97</v>
      </c>
      <c r="L191" t="s">
        <v>98</v>
      </c>
      <c r="M191" t="s">
        <v>665</v>
      </c>
      <c r="N191" t="s">
        <v>665</v>
      </c>
      <c r="O191">
        <v>6</v>
      </c>
      <c r="P191">
        <v>6</v>
      </c>
      <c r="Q191">
        <v>171426</v>
      </c>
    </row>
    <row r="192" spans="1:17" x14ac:dyDescent="0.3">
      <c r="A192" t="s">
        <v>666</v>
      </c>
      <c r="B192" t="s">
        <v>210</v>
      </c>
      <c r="C192" t="s">
        <v>18</v>
      </c>
      <c r="D192" t="s">
        <v>11</v>
      </c>
      <c r="E192" t="s">
        <v>650</v>
      </c>
      <c r="F192">
        <v>34285</v>
      </c>
      <c r="G192" t="s">
        <v>42</v>
      </c>
      <c r="H192" t="s">
        <v>516</v>
      </c>
      <c r="I192">
        <v>350</v>
      </c>
      <c r="J192">
        <v>450</v>
      </c>
      <c r="K192" t="s">
        <v>97</v>
      </c>
      <c r="L192" t="s">
        <v>98</v>
      </c>
      <c r="M192" t="s">
        <v>150</v>
      </c>
      <c r="N192" t="s">
        <v>150</v>
      </c>
      <c r="O192">
        <v>9</v>
      </c>
      <c r="P192">
        <v>9</v>
      </c>
      <c r="Q192">
        <v>308565</v>
      </c>
    </row>
    <row r="193" spans="1:17" x14ac:dyDescent="0.3">
      <c r="A193" t="s">
        <v>667</v>
      </c>
      <c r="B193" t="s">
        <v>210</v>
      </c>
      <c r="C193" t="s">
        <v>13</v>
      </c>
      <c r="D193" t="s">
        <v>11</v>
      </c>
      <c r="E193" t="s">
        <v>280</v>
      </c>
      <c r="F193">
        <v>24000</v>
      </c>
      <c r="G193" t="s">
        <v>668</v>
      </c>
      <c r="H193" t="s">
        <v>669</v>
      </c>
      <c r="I193">
        <v>250</v>
      </c>
      <c r="J193">
        <v>380</v>
      </c>
      <c r="K193" t="s">
        <v>93</v>
      </c>
      <c r="L193" t="s">
        <v>12</v>
      </c>
      <c r="M193" t="s">
        <v>670</v>
      </c>
      <c r="N193" t="s">
        <v>670</v>
      </c>
      <c r="O193">
        <v>25</v>
      </c>
      <c r="P193">
        <v>25</v>
      </c>
      <c r="Q193">
        <v>600000</v>
      </c>
    </row>
    <row r="194" spans="1:17" x14ac:dyDescent="0.3">
      <c r="A194" t="s">
        <v>671</v>
      </c>
      <c r="B194" t="s">
        <v>210</v>
      </c>
      <c r="C194" t="s">
        <v>18</v>
      </c>
      <c r="D194" t="s">
        <v>11</v>
      </c>
      <c r="E194" t="s">
        <v>650</v>
      </c>
      <c r="F194">
        <v>9230</v>
      </c>
      <c r="G194" t="s">
        <v>42</v>
      </c>
      <c r="H194" t="s">
        <v>585</v>
      </c>
      <c r="I194">
        <v>400</v>
      </c>
      <c r="J194">
        <v>650</v>
      </c>
      <c r="K194" t="s">
        <v>90</v>
      </c>
      <c r="L194" t="s">
        <v>91</v>
      </c>
      <c r="M194" t="s">
        <v>672</v>
      </c>
      <c r="N194" t="s">
        <v>672</v>
      </c>
      <c r="O194">
        <v>14</v>
      </c>
      <c r="P194">
        <v>14.5</v>
      </c>
      <c r="Q194">
        <v>133835</v>
      </c>
    </row>
    <row r="195" spans="1:17" x14ac:dyDescent="0.3">
      <c r="A195" t="s">
        <v>673</v>
      </c>
      <c r="B195" t="s">
        <v>210</v>
      </c>
      <c r="C195" t="s">
        <v>13</v>
      </c>
      <c r="D195" t="s">
        <v>11</v>
      </c>
      <c r="E195" t="s">
        <v>280</v>
      </c>
      <c r="F195">
        <v>24000</v>
      </c>
      <c r="G195" t="s">
        <v>668</v>
      </c>
      <c r="H195" t="s">
        <v>669</v>
      </c>
      <c r="I195">
        <v>250</v>
      </c>
      <c r="J195">
        <v>380</v>
      </c>
      <c r="K195" t="s">
        <v>93</v>
      </c>
      <c r="L195" t="s">
        <v>12</v>
      </c>
      <c r="M195" t="s">
        <v>670</v>
      </c>
      <c r="N195" t="s">
        <v>670</v>
      </c>
      <c r="O195">
        <v>25</v>
      </c>
      <c r="P195">
        <v>25</v>
      </c>
      <c r="Q195">
        <v>600000</v>
      </c>
    </row>
    <row r="196" spans="1:17" x14ac:dyDescent="0.3">
      <c r="A196" t="s">
        <v>674</v>
      </c>
      <c r="B196" t="s">
        <v>210</v>
      </c>
      <c r="C196" t="s">
        <v>13</v>
      </c>
      <c r="D196" t="s">
        <v>11</v>
      </c>
      <c r="E196" t="s">
        <v>650</v>
      </c>
      <c r="F196">
        <v>16666</v>
      </c>
      <c r="G196" t="s">
        <v>557</v>
      </c>
      <c r="H196" t="s">
        <v>675</v>
      </c>
      <c r="I196">
        <v>360</v>
      </c>
      <c r="J196">
        <v>430</v>
      </c>
      <c r="K196" t="s">
        <v>93</v>
      </c>
      <c r="L196" t="s">
        <v>12</v>
      </c>
      <c r="M196" t="s">
        <v>676</v>
      </c>
      <c r="N196" t="s">
        <v>676</v>
      </c>
      <c r="O196">
        <v>36</v>
      </c>
      <c r="P196">
        <v>36</v>
      </c>
      <c r="Q196">
        <v>599976</v>
      </c>
    </row>
    <row r="197" spans="1:17" x14ac:dyDescent="0.3">
      <c r="A197" t="s">
        <v>677</v>
      </c>
      <c r="B197" t="s">
        <v>210</v>
      </c>
      <c r="C197" t="s">
        <v>10</v>
      </c>
      <c r="D197" t="s">
        <v>11</v>
      </c>
      <c r="E197" t="s">
        <v>650</v>
      </c>
      <c r="F197">
        <v>240000</v>
      </c>
      <c r="G197" t="s">
        <v>668</v>
      </c>
      <c r="H197" t="s">
        <v>678</v>
      </c>
      <c r="I197">
        <v>200</v>
      </c>
      <c r="J197">
        <v>200</v>
      </c>
      <c r="K197" t="s">
        <v>96</v>
      </c>
      <c r="L197" t="s">
        <v>24</v>
      </c>
      <c r="M197" t="s">
        <v>679</v>
      </c>
      <c r="N197" t="s">
        <v>679</v>
      </c>
      <c r="O197">
        <v>5</v>
      </c>
      <c r="P197">
        <v>4</v>
      </c>
      <c r="Q197">
        <v>960000</v>
      </c>
    </row>
    <row r="198" spans="1:17" x14ac:dyDescent="0.3">
      <c r="A198" t="s">
        <v>680</v>
      </c>
      <c r="B198" t="s">
        <v>210</v>
      </c>
      <c r="C198" t="s">
        <v>13</v>
      </c>
      <c r="D198" t="s">
        <v>11</v>
      </c>
      <c r="E198" t="s">
        <v>650</v>
      </c>
      <c r="F198">
        <v>54545</v>
      </c>
      <c r="G198" t="s">
        <v>681</v>
      </c>
      <c r="H198" t="s">
        <v>682</v>
      </c>
      <c r="I198">
        <v>220</v>
      </c>
      <c r="J198">
        <v>300</v>
      </c>
      <c r="K198" t="s">
        <v>93</v>
      </c>
      <c r="L198" t="s">
        <v>12</v>
      </c>
      <c r="M198" t="s">
        <v>683</v>
      </c>
      <c r="N198" t="s">
        <v>683</v>
      </c>
      <c r="O198">
        <v>22</v>
      </c>
      <c r="P198">
        <v>22</v>
      </c>
      <c r="Q198">
        <v>1199990</v>
      </c>
    </row>
    <row r="199" spans="1:17" x14ac:dyDescent="0.3">
      <c r="A199" t="s">
        <v>684</v>
      </c>
      <c r="B199" t="s">
        <v>210</v>
      </c>
      <c r="C199" t="s">
        <v>13</v>
      </c>
      <c r="D199" t="s">
        <v>11</v>
      </c>
      <c r="E199" t="s">
        <v>650</v>
      </c>
      <c r="F199">
        <v>26086</v>
      </c>
      <c r="G199" t="s">
        <v>130</v>
      </c>
      <c r="H199" t="s">
        <v>29</v>
      </c>
      <c r="I199">
        <v>230</v>
      </c>
      <c r="J199">
        <v>300</v>
      </c>
      <c r="K199" t="s">
        <v>93</v>
      </c>
      <c r="L199" t="s">
        <v>12</v>
      </c>
      <c r="M199" t="s">
        <v>178</v>
      </c>
      <c r="N199" t="s">
        <v>178</v>
      </c>
      <c r="O199">
        <v>7</v>
      </c>
      <c r="P199">
        <v>7</v>
      </c>
      <c r="Q199">
        <v>182602</v>
      </c>
    </row>
    <row r="200" spans="1:17" x14ac:dyDescent="0.3">
      <c r="A200" t="s">
        <v>685</v>
      </c>
      <c r="B200" t="s">
        <v>210</v>
      </c>
      <c r="C200" t="s">
        <v>13</v>
      </c>
      <c r="D200" t="s">
        <v>11</v>
      </c>
      <c r="E200" t="s">
        <v>650</v>
      </c>
      <c r="F200">
        <v>15000</v>
      </c>
      <c r="G200" t="s">
        <v>23</v>
      </c>
      <c r="H200" t="s">
        <v>686</v>
      </c>
      <c r="I200">
        <v>400</v>
      </c>
      <c r="J200">
        <v>320</v>
      </c>
      <c r="K200" t="s">
        <v>97</v>
      </c>
      <c r="L200" t="s">
        <v>98</v>
      </c>
      <c r="M200" t="s">
        <v>485</v>
      </c>
      <c r="N200" t="s">
        <v>485</v>
      </c>
      <c r="O200">
        <v>10</v>
      </c>
      <c r="P200">
        <v>10</v>
      </c>
      <c r="Q200">
        <v>150000</v>
      </c>
    </row>
    <row r="201" spans="1:17" x14ac:dyDescent="0.3">
      <c r="A201" t="s">
        <v>687</v>
      </c>
      <c r="B201" t="s">
        <v>210</v>
      </c>
      <c r="C201" t="s">
        <v>18</v>
      </c>
      <c r="D201" t="s">
        <v>11</v>
      </c>
      <c r="E201" t="s">
        <v>293</v>
      </c>
      <c r="F201">
        <v>15000</v>
      </c>
      <c r="G201" t="s">
        <v>23</v>
      </c>
      <c r="H201" t="s">
        <v>688</v>
      </c>
      <c r="I201">
        <v>400</v>
      </c>
      <c r="J201">
        <v>300</v>
      </c>
      <c r="K201" t="s">
        <v>97</v>
      </c>
      <c r="L201" t="s">
        <v>98</v>
      </c>
      <c r="M201" t="s">
        <v>485</v>
      </c>
      <c r="N201" t="s">
        <v>485</v>
      </c>
      <c r="O201">
        <v>10</v>
      </c>
      <c r="P201">
        <v>10</v>
      </c>
      <c r="Q201">
        <v>150000</v>
      </c>
    </row>
    <row r="202" spans="1:17" x14ac:dyDescent="0.3">
      <c r="A202" t="s">
        <v>689</v>
      </c>
      <c r="B202" t="s">
        <v>286</v>
      </c>
      <c r="C202" t="s">
        <v>13</v>
      </c>
      <c r="D202" t="s">
        <v>11</v>
      </c>
      <c r="E202" t="s">
        <v>640</v>
      </c>
      <c r="F202">
        <v>75000</v>
      </c>
      <c r="G202" t="s">
        <v>130</v>
      </c>
      <c r="H202" t="s">
        <v>131</v>
      </c>
      <c r="I202">
        <v>250</v>
      </c>
      <c r="J202">
        <v>320</v>
      </c>
      <c r="K202" t="s">
        <v>94</v>
      </c>
      <c r="L202" t="s">
        <v>95</v>
      </c>
      <c r="M202" t="s">
        <v>187</v>
      </c>
      <c r="N202" t="s">
        <v>196</v>
      </c>
      <c r="O202">
        <v>7</v>
      </c>
      <c r="P202">
        <v>7</v>
      </c>
      <c r="Q202">
        <v>525000</v>
      </c>
    </row>
    <row r="203" spans="1:17" x14ac:dyDescent="0.3">
      <c r="A203" t="s">
        <v>690</v>
      </c>
      <c r="B203" t="s">
        <v>210</v>
      </c>
      <c r="C203" t="s">
        <v>13</v>
      </c>
      <c r="D203" t="s">
        <v>11</v>
      </c>
      <c r="E203" t="s">
        <v>650</v>
      </c>
      <c r="F203">
        <v>30000</v>
      </c>
      <c r="G203" t="s">
        <v>15</v>
      </c>
      <c r="H203" t="s">
        <v>691</v>
      </c>
      <c r="I203">
        <v>200</v>
      </c>
      <c r="J203">
        <v>250</v>
      </c>
      <c r="K203" t="s">
        <v>97</v>
      </c>
      <c r="L203" t="s">
        <v>98</v>
      </c>
      <c r="M203" t="s">
        <v>692</v>
      </c>
      <c r="N203" t="s">
        <v>692</v>
      </c>
      <c r="O203">
        <v>5</v>
      </c>
      <c r="P203">
        <v>5</v>
      </c>
      <c r="Q203">
        <v>150000</v>
      </c>
    </row>
    <row r="204" spans="1:17" x14ac:dyDescent="0.3">
      <c r="A204" t="s">
        <v>693</v>
      </c>
      <c r="B204" t="s">
        <v>210</v>
      </c>
      <c r="C204" t="s">
        <v>13</v>
      </c>
      <c r="D204" t="s">
        <v>11</v>
      </c>
      <c r="E204" t="s">
        <v>694</v>
      </c>
      <c r="F204">
        <v>400000</v>
      </c>
      <c r="G204" t="s">
        <v>53</v>
      </c>
      <c r="H204" t="s">
        <v>52</v>
      </c>
      <c r="I204">
        <v>150</v>
      </c>
      <c r="J204">
        <v>220</v>
      </c>
      <c r="K204" t="s">
        <v>132</v>
      </c>
      <c r="L204" t="s">
        <v>51</v>
      </c>
      <c r="M204" t="s">
        <v>158</v>
      </c>
      <c r="N204" t="s">
        <v>158</v>
      </c>
      <c r="O204">
        <v>21</v>
      </c>
      <c r="P204">
        <v>21</v>
      </c>
      <c r="Q204">
        <v>8400000</v>
      </c>
    </row>
    <row r="205" spans="1:17" x14ac:dyDescent="0.3">
      <c r="A205" t="s">
        <v>695</v>
      </c>
      <c r="B205" t="s">
        <v>278</v>
      </c>
      <c r="C205" t="s">
        <v>10</v>
      </c>
      <c r="D205" t="s">
        <v>11</v>
      </c>
      <c r="E205" t="s">
        <v>640</v>
      </c>
      <c r="F205">
        <v>28571</v>
      </c>
      <c r="G205" t="s">
        <v>696</v>
      </c>
      <c r="H205" t="s">
        <v>697</v>
      </c>
      <c r="I205">
        <v>210</v>
      </c>
      <c r="J205">
        <v>300</v>
      </c>
      <c r="K205" t="s">
        <v>93</v>
      </c>
      <c r="L205" t="s">
        <v>12</v>
      </c>
      <c r="M205" t="s">
        <v>698</v>
      </c>
      <c r="N205" t="s">
        <v>698</v>
      </c>
      <c r="O205">
        <v>21</v>
      </c>
      <c r="P205">
        <v>21</v>
      </c>
      <c r="Q205">
        <v>599991</v>
      </c>
    </row>
    <row r="206" spans="1:17" x14ac:dyDescent="0.3">
      <c r="A206" t="s">
        <v>699</v>
      </c>
      <c r="B206" t="s">
        <v>278</v>
      </c>
      <c r="C206" t="s">
        <v>10</v>
      </c>
      <c r="D206" t="s">
        <v>11</v>
      </c>
      <c r="E206" t="s">
        <v>700</v>
      </c>
      <c r="F206">
        <v>326530</v>
      </c>
      <c r="G206" t="s">
        <v>25</v>
      </c>
      <c r="H206" t="s">
        <v>590</v>
      </c>
      <c r="I206">
        <v>147</v>
      </c>
      <c r="J206">
        <v>175</v>
      </c>
      <c r="K206" t="s">
        <v>96</v>
      </c>
      <c r="L206" t="s">
        <v>24</v>
      </c>
      <c r="M206" t="s">
        <v>591</v>
      </c>
      <c r="N206" t="s">
        <v>591</v>
      </c>
      <c r="O206">
        <v>5</v>
      </c>
      <c r="P206">
        <v>4</v>
      </c>
      <c r="Q206">
        <v>1306120</v>
      </c>
    </row>
    <row r="207" spans="1:17" x14ac:dyDescent="0.3">
      <c r="A207" t="s">
        <v>701</v>
      </c>
      <c r="B207" t="s">
        <v>278</v>
      </c>
      <c r="C207" t="s">
        <v>10</v>
      </c>
      <c r="D207" t="s">
        <v>11</v>
      </c>
      <c r="E207" t="s">
        <v>648</v>
      </c>
      <c r="F207">
        <v>27272</v>
      </c>
      <c r="G207" t="s">
        <v>696</v>
      </c>
      <c r="H207" t="s">
        <v>702</v>
      </c>
      <c r="I207">
        <v>220</v>
      </c>
      <c r="J207">
        <v>330</v>
      </c>
      <c r="K207" t="s">
        <v>93</v>
      </c>
      <c r="L207" t="s">
        <v>12</v>
      </c>
      <c r="M207" t="s">
        <v>703</v>
      </c>
      <c r="N207" t="s">
        <v>703</v>
      </c>
      <c r="O207">
        <v>22</v>
      </c>
      <c r="P207">
        <v>22</v>
      </c>
      <c r="Q207">
        <v>599984</v>
      </c>
    </row>
    <row r="208" spans="1:17" x14ac:dyDescent="0.3">
      <c r="A208" t="s">
        <v>704</v>
      </c>
      <c r="B208" t="s">
        <v>210</v>
      </c>
      <c r="C208" t="s">
        <v>10</v>
      </c>
      <c r="D208" t="s">
        <v>11</v>
      </c>
      <c r="E208" t="s">
        <v>650</v>
      </c>
      <c r="F208">
        <v>17142</v>
      </c>
      <c r="G208" t="s">
        <v>23</v>
      </c>
      <c r="H208" t="s">
        <v>705</v>
      </c>
      <c r="I208">
        <v>350</v>
      </c>
      <c r="J208">
        <v>600</v>
      </c>
      <c r="K208" t="s">
        <v>97</v>
      </c>
      <c r="L208" t="s">
        <v>98</v>
      </c>
      <c r="M208" t="s">
        <v>154</v>
      </c>
      <c r="N208" t="s">
        <v>154</v>
      </c>
      <c r="O208">
        <v>9</v>
      </c>
      <c r="P208">
        <v>9</v>
      </c>
      <c r="Q208">
        <v>154278</v>
      </c>
    </row>
    <row r="209" spans="1:17" x14ac:dyDescent="0.3">
      <c r="A209" t="s">
        <v>706</v>
      </c>
      <c r="B209" t="s">
        <v>278</v>
      </c>
      <c r="C209" t="s">
        <v>10</v>
      </c>
      <c r="D209" t="s">
        <v>11</v>
      </c>
      <c r="E209" t="s">
        <v>650</v>
      </c>
      <c r="F209">
        <v>27272</v>
      </c>
      <c r="G209" t="s">
        <v>182</v>
      </c>
      <c r="H209" t="s">
        <v>707</v>
      </c>
      <c r="I209">
        <v>220</v>
      </c>
      <c r="J209">
        <v>250</v>
      </c>
      <c r="K209" t="s">
        <v>97</v>
      </c>
      <c r="L209" t="s">
        <v>98</v>
      </c>
      <c r="M209" t="s">
        <v>708</v>
      </c>
      <c r="N209" t="s">
        <v>708</v>
      </c>
      <c r="O209">
        <v>6</v>
      </c>
      <c r="P209">
        <v>6</v>
      </c>
      <c r="Q209">
        <v>163632</v>
      </c>
    </row>
    <row r="210" spans="1:17" x14ac:dyDescent="0.3">
      <c r="A210" t="s">
        <v>709</v>
      </c>
      <c r="B210" t="s">
        <v>210</v>
      </c>
      <c r="C210" t="s">
        <v>13</v>
      </c>
      <c r="D210" t="s">
        <v>11</v>
      </c>
      <c r="E210" t="s">
        <v>640</v>
      </c>
      <c r="F210">
        <v>75000</v>
      </c>
      <c r="G210" t="s">
        <v>710</v>
      </c>
      <c r="H210" t="s">
        <v>711</v>
      </c>
      <c r="I210">
        <v>120</v>
      </c>
      <c r="J210">
        <v>185</v>
      </c>
      <c r="K210" t="s">
        <v>132</v>
      </c>
      <c r="L210" t="s">
        <v>51</v>
      </c>
      <c r="M210" t="s">
        <v>712</v>
      </c>
      <c r="N210" t="s">
        <v>712</v>
      </c>
      <c r="O210">
        <v>16.8</v>
      </c>
      <c r="P210">
        <v>16.8</v>
      </c>
      <c r="Q210">
        <v>1260000</v>
      </c>
    </row>
    <row r="211" spans="1:17" x14ac:dyDescent="0.3">
      <c r="A211" t="s">
        <v>713</v>
      </c>
      <c r="B211" t="s">
        <v>210</v>
      </c>
      <c r="C211" t="s">
        <v>13</v>
      </c>
      <c r="D211" t="s">
        <v>11</v>
      </c>
      <c r="E211" t="s">
        <v>640</v>
      </c>
      <c r="F211">
        <v>25000</v>
      </c>
      <c r="G211" t="s">
        <v>710</v>
      </c>
      <c r="H211" t="s">
        <v>711</v>
      </c>
      <c r="I211">
        <v>120</v>
      </c>
      <c r="J211">
        <v>185</v>
      </c>
      <c r="K211" t="s">
        <v>132</v>
      </c>
      <c r="L211" t="s">
        <v>51</v>
      </c>
      <c r="M211" t="s">
        <v>712</v>
      </c>
      <c r="N211" t="s">
        <v>712</v>
      </c>
      <c r="O211">
        <v>16.8</v>
      </c>
      <c r="P211">
        <v>16.8</v>
      </c>
      <c r="Q211">
        <v>420000</v>
      </c>
    </row>
    <row r="212" spans="1:17" x14ac:dyDescent="0.3">
      <c r="A212" t="s">
        <v>714</v>
      </c>
      <c r="B212" t="s">
        <v>278</v>
      </c>
      <c r="C212" t="s">
        <v>13</v>
      </c>
      <c r="D212" t="s">
        <v>11</v>
      </c>
      <c r="E212" t="s">
        <v>640</v>
      </c>
      <c r="F212">
        <v>20000</v>
      </c>
      <c r="G212" t="s">
        <v>85</v>
      </c>
      <c r="H212" t="s">
        <v>447</v>
      </c>
      <c r="I212">
        <v>300</v>
      </c>
      <c r="J212">
        <v>290</v>
      </c>
      <c r="K212" t="s">
        <v>97</v>
      </c>
      <c r="L212" t="s">
        <v>98</v>
      </c>
      <c r="M212" t="s">
        <v>149</v>
      </c>
      <c r="N212" t="s">
        <v>149</v>
      </c>
      <c r="O212">
        <v>8</v>
      </c>
      <c r="P212">
        <v>8</v>
      </c>
      <c r="Q212">
        <v>160000</v>
      </c>
    </row>
    <row r="213" spans="1:17" x14ac:dyDescent="0.3">
      <c r="A213" t="s">
        <v>715</v>
      </c>
      <c r="B213" t="s">
        <v>278</v>
      </c>
      <c r="C213" t="s">
        <v>10</v>
      </c>
      <c r="D213" t="s">
        <v>11</v>
      </c>
      <c r="E213" t="s">
        <v>640</v>
      </c>
      <c r="F213">
        <v>14285</v>
      </c>
      <c r="G213" t="s">
        <v>716</v>
      </c>
      <c r="H213" t="s">
        <v>717</v>
      </c>
      <c r="I213">
        <v>70</v>
      </c>
      <c r="J213">
        <v>440</v>
      </c>
      <c r="K213" t="s">
        <v>827</v>
      </c>
      <c r="L213" t="s">
        <v>617</v>
      </c>
      <c r="M213" t="s">
        <v>829</v>
      </c>
      <c r="N213" t="s">
        <v>829</v>
      </c>
      <c r="O213">
        <v>9</v>
      </c>
      <c r="P213">
        <v>9</v>
      </c>
      <c r="Q213">
        <v>128565</v>
      </c>
    </row>
    <row r="214" spans="1:17" x14ac:dyDescent="0.3">
      <c r="A214" t="s">
        <v>718</v>
      </c>
      <c r="B214" t="s">
        <v>278</v>
      </c>
      <c r="C214" t="s">
        <v>13</v>
      </c>
      <c r="D214" t="s">
        <v>11</v>
      </c>
      <c r="E214" t="s">
        <v>640</v>
      </c>
      <c r="F214">
        <v>33333</v>
      </c>
      <c r="G214" t="s">
        <v>719</v>
      </c>
      <c r="H214" t="s">
        <v>720</v>
      </c>
      <c r="I214">
        <v>180</v>
      </c>
      <c r="J214">
        <v>260</v>
      </c>
      <c r="K214" t="s">
        <v>721</v>
      </c>
      <c r="L214" t="s">
        <v>722</v>
      </c>
      <c r="M214" t="s">
        <v>723</v>
      </c>
      <c r="N214" t="s">
        <v>723</v>
      </c>
      <c r="O214">
        <v>25.2</v>
      </c>
      <c r="P214">
        <v>25.2</v>
      </c>
      <c r="Q214">
        <v>839991.6</v>
      </c>
    </row>
    <row r="215" spans="1:17" x14ac:dyDescent="0.3">
      <c r="A215" t="s">
        <v>724</v>
      </c>
      <c r="B215" t="s">
        <v>278</v>
      </c>
      <c r="C215" t="s">
        <v>13</v>
      </c>
      <c r="D215" t="s">
        <v>11</v>
      </c>
      <c r="E215" t="s">
        <v>650</v>
      </c>
      <c r="F215">
        <v>27272</v>
      </c>
      <c r="G215" t="s">
        <v>80</v>
      </c>
      <c r="H215" t="s">
        <v>404</v>
      </c>
      <c r="I215">
        <v>220</v>
      </c>
      <c r="J215">
        <v>280</v>
      </c>
      <c r="K215" t="s">
        <v>97</v>
      </c>
      <c r="L215" t="s">
        <v>98</v>
      </c>
      <c r="M215" t="s">
        <v>162</v>
      </c>
      <c r="N215" t="s">
        <v>162</v>
      </c>
      <c r="O215">
        <v>6</v>
      </c>
      <c r="P215">
        <v>6</v>
      </c>
      <c r="Q215">
        <v>163632</v>
      </c>
    </row>
    <row r="216" spans="1:17" x14ac:dyDescent="0.3">
      <c r="A216" t="s">
        <v>725</v>
      </c>
      <c r="B216" t="s">
        <v>278</v>
      </c>
      <c r="C216" t="s">
        <v>13</v>
      </c>
      <c r="D216" t="s">
        <v>11</v>
      </c>
      <c r="E216" t="s">
        <v>640</v>
      </c>
      <c r="F216">
        <v>24000</v>
      </c>
      <c r="G216" t="s">
        <v>25</v>
      </c>
      <c r="H216" t="s">
        <v>109</v>
      </c>
      <c r="I216">
        <v>250</v>
      </c>
      <c r="J216">
        <v>340</v>
      </c>
      <c r="K216" t="s">
        <v>97</v>
      </c>
      <c r="L216" t="s">
        <v>98</v>
      </c>
      <c r="M216" t="s">
        <v>155</v>
      </c>
      <c r="N216" t="s">
        <v>155</v>
      </c>
      <c r="O216">
        <v>7</v>
      </c>
      <c r="P216">
        <v>7</v>
      </c>
      <c r="Q216">
        <v>168000</v>
      </c>
    </row>
    <row r="217" spans="1:17" x14ac:dyDescent="0.3">
      <c r="A217" t="s">
        <v>726</v>
      </c>
      <c r="B217" t="s">
        <v>283</v>
      </c>
      <c r="C217" t="s">
        <v>13</v>
      </c>
      <c r="D217" t="s">
        <v>11</v>
      </c>
      <c r="E217" t="s">
        <v>727</v>
      </c>
      <c r="F217">
        <v>26086</v>
      </c>
      <c r="G217" t="s">
        <v>28</v>
      </c>
      <c r="H217" t="s">
        <v>29</v>
      </c>
      <c r="I217">
        <v>230</v>
      </c>
      <c r="J217">
        <v>300</v>
      </c>
      <c r="K217" t="s">
        <v>93</v>
      </c>
      <c r="L217" t="s">
        <v>12</v>
      </c>
      <c r="M217" t="s">
        <v>728</v>
      </c>
      <c r="N217" t="s">
        <v>728</v>
      </c>
      <c r="O217">
        <v>23</v>
      </c>
      <c r="P217">
        <v>23</v>
      </c>
      <c r="Q217">
        <v>599978</v>
      </c>
    </row>
    <row r="218" spans="1:17" x14ac:dyDescent="0.3">
      <c r="A218" t="s">
        <v>729</v>
      </c>
      <c r="B218" t="s">
        <v>283</v>
      </c>
      <c r="C218" t="s">
        <v>10</v>
      </c>
      <c r="D218" t="s">
        <v>11</v>
      </c>
      <c r="E218" t="s">
        <v>727</v>
      </c>
      <c r="F218">
        <v>35294</v>
      </c>
      <c r="G218" t="s">
        <v>730</v>
      </c>
      <c r="H218" t="s">
        <v>731</v>
      </c>
      <c r="I218">
        <v>170</v>
      </c>
      <c r="J218">
        <v>580</v>
      </c>
      <c r="K218" t="s">
        <v>97</v>
      </c>
      <c r="L218" t="s">
        <v>98</v>
      </c>
      <c r="M218" t="s">
        <v>732</v>
      </c>
      <c r="N218" t="s">
        <v>732</v>
      </c>
      <c r="O218">
        <v>5</v>
      </c>
      <c r="P218">
        <v>5</v>
      </c>
      <c r="Q218">
        <v>176470</v>
      </c>
    </row>
    <row r="219" spans="1:17" x14ac:dyDescent="0.3">
      <c r="A219" t="s">
        <v>733</v>
      </c>
      <c r="B219" t="s">
        <v>283</v>
      </c>
      <c r="C219" t="s">
        <v>18</v>
      </c>
      <c r="D219" t="s">
        <v>11</v>
      </c>
      <c r="E219" t="s">
        <v>727</v>
      </c>
      <c r="F219">
        <v>46153</v>
      </c>
      <c r="G219" t="s">
        <v>22</v>
      </c>
      <c r="H219" t="s">
        <v>734</v>
      </c>
      <c r="I219">
        <v>260</v>
      </c>
      <c r="J219">
        <v>360</v>
      </c>
      <c r="K219" t="s">
        <v>93</v>
      </c>
      <c r="L219" t="s">
        <v>12</v>
      </c>
      <c r="M219" t="s">
        <v>735</v>
      </c>
      <c r="N219" t="s">
        <v>735</v>
      </c>
      <c r="O219">
        <v>26</v>
      </c>
      <c r="P219">
        <v>26</v>
      </c>
      <c r="Q219">
        <v>1199978</v>
      </c>
    </row>
    <row r="220" spans="1:17" x14ac:dyDescent="0.3">
      <c r="A220" t="s">
        <v>736</v>
      </c>
      <c r="B220" t="s">
        <v>283</v>
      </c>
      <c r="C220" t="s">
        <v>10</v>
      </c>
      <c r="D220" t="s">
        <v>11</v>
      </c>
      <c r="E220" t="s">
        <v>727</v>
      </c>
      <c r="F220">
        <v>10909</v>
      </c>
      <c r="G220" t="s">
        <v>124</v>
      </c>
      <c r="H220" t="s">
        <v>125</v>
      </c>
      <c r="I220">
        <v>400</v>
      </c>
      <c r="J220">
        <v>550</v>
      </c>
      <c r="K220" t="s">
        <v>94</v>
      </c>
      <c r="L220" t="s">
        <v>95</v>
      </c>
      <c r="M220" t="s">
        <v>179</v>
      </c>
      <c r="N220" t="s">
        <v>198</v>
      </c>
      <c r="O220">
        <v>22</v>
      </c>
      <c r="P220">
        <v>22</v>
      </c>
      <c r="Q220">
        <v>239998</v>
      </c>
    </row>
    <row r="221" spans="1:17" x14ac:dyDescent="0.3">
      <c r="A221" t="s">
        <v>737</v>
      </c>
      <c r="B221" t="s">
        <v>283</v>
      </c>
      <c r="C221" t="s">
        <v>13</v>
      </c>
      <c r="D221" t="s">
        <v>11</v>
      </c>
      <c r="E221" t="s">
        <v>700</v>
      </c>
      <c r="F221">
        <v>35294</v>
      </c>
      <c r="G221" t="s">
        <v>738</v>
      </c>
      <c r="H221" t="s">
        <v>739</v>
      </c>
      <c r="I221">
        <v>170</v>
      </c>
      <c r="J221">
        <v>250</v>
      </c>
      <c r="K221" t="s">
        <v>97</v>
      </c>
      <c r="L221" t="s">
        <v>98</v>
      </c>
      <c r="M221" t="s">
        <v>740</v>
      </c>
      <c r="N221" t="s">
        <v>740</v>
      </c>
      <c r="O221">
        <v>5</v>
      </c>
      <c r="P221">
        <v>5</v>
      </c>
      <c r="Q221">
        <v>176470</v>
      </c>
    </row>
    <row r="222" spans="1:17" x14ac:dyDescent="0.3">
      <c r="A222" t="s">
        <v>741</v>
      </c>
      <c r="B222" t="s">
        <v>283</v>
      </c>
      <c r="C222" t="s">
        <v>18</v>
      </c>
      <c r="D222" t="s">
        <v>11</v>
      </c>
      <c r="E222" t="s">
        <v>727</v>
      </c>
      <c r="F222">
        <v>60000</v>
      </c>
      <c r="G222" t="s">
        <v>22</v>
      </c>
      <c r="H222" t="s">
        <v>742</v>
      </c>
      <c r="I222">
        <v>200</v>
      </c>
      <c r="J222">
        <v>300</v>
      </c>
      <c r="K222" t="s">
        <v>93</v>
      </c>
      <c r="L222" t="s">
        <v>12</v>
      </c>
      <c r="M222" t="s">
        <v>743</v>
      </c>
      <c r="N222" t="s">
        <v>743</v>
      </c>
      <c r="O222">
        <v>20</v>
      </c>
      <c r="P222">
        <v>20</v>
      </c>
      <c r="Q222">
        <v>1200000</v>
      </c>
    </row>
    <row r="223" spans="1:17" x14ac:dyDescent="0.3">
      <c r="A223" t="s">
        <v>744</v>
      </c>
      <c r="B223" t="s">
        <v>283</v>
      </c>
      <c r="C223" t="s">
        <v>13</v>
      </c>
      <c r="D223" t="s">
        <v>11</v>
      </c>
      <c r="E223" t="s">
        <v>727</v>
      </c>
      <c r="F223">
        <v>23076</v>
      </c>
      <c r="G223" t="s">
        <v>455</v>
      </c>
      <c r="H223" t="s">
        <v>745</v>
      </c>
      <c r="I223">
        <v>260</v>
      </c>
      <c r="J223">
        <v>360</v>
      </c>
      <c r="K223" t="s">
        <v>93</v>
      </c>
      <c r="L223" t="s">
        <v>12</v>
      </c>
      <c r="M223" t="s">
        <v>746</v>
      </c>
      <c r="N223" t="s">
        <v>746</v>
      </c>
      <c r="O223">
        <v>26</v>
      </c>
      <c r="P223">
        <v>26</v>
      </c>
      <c r="Q223">
        <v>599976</v>
      </c>
    </row>
    <row r="224" spans="1:17" x14ac:dyDescent="0.3">
      <c r="A224" t="s">
        <v>747</v>
      </c>
      <c r="B224" t="s">
        <v>483</v>
      </c>
      <c r="C224" t="s">
        <v>18</v>
      </c>
      <c r="D224" t="s">
        <v>11</v>
      </c>
      <c r="E224" t="s">
        <v>700</v>
      </c>
      <c r="F224">
        <v>16216</v>
      </c>
      <c r="G224" t="s">
        <v>25</v>
      </c>
      <c r="H224" t="s">
        <v>748</v>
      </c>
      <c r="I224">
        <v>370</v>
      </c>
      <c r="J224">
        <v>280</v>
      </c>
      <c r="K224" t="s">
        <v>97</v>
      </c>
      <c r="L224" t="s">
        <v>98</v>
      </c>
      <c r="M224" t="s">
        <v>749</v>
      </c>
      <c r="N224" t="s">
        <v>749</v>
      </c>
      <c r="O224">
        <v>10</v>
      </c>
      <c r="P224">
        <v>10</v>
      </c>
      <c r="Q224">
        <v>162160</v>
      </c>
    </row>
    <row r="225" spans="1:17" x14ac:dyDescent="0.3">
      <c r="A225" t="s">
        <v>750</v>
      </c>
      <c r="B225" t="s">
        <v>483</v>
      </c>
      <c r="C225" t="s">
        <v>18</v>
      </c>
      <c r="D225" t="s">
        <v>11</v>
      </c>
      <c r="E225" t="s">
        <v>700</v>
      </c>
      <c r="F225">
        <v>16216</v>
      </c>
      <c r="G225" t="s">
        <v>25</v>
      </c>
      <c r="H225" t="s">
        <v>748</v>
      </c>
      <c r="I225">
        <v>370</v>
      </c>
      <c r="J225">
        <v>280</v>
      </c>
      <c r="K225" t="s">
        <v>97</v>
      </c>
      <c r="L225" t="s">
        <v>98</v>
      </c>
      <c r="M225" t="s">
        <v>749</v>
      </c>
      <c r="N225" t="s">
        <v>749</v>
      </c>
      <c r="O225">
        <v>10</v>
      </c>
      <c r="P225">
        <v>10</v>
      </c>
      <c r="Q225">
        <v>162160</v>
      </c>
    </row>
    <row r="226" spans="1:17" x14ac:dyDescent="0.3">
      <c r="A226" t="s">
        <v>751</v>
      </c>
      <c r="B226" t="s">
        <v>283</v>
      </c>
      <c r="C226" t="s">
        <v>10</v>
      </c>
      <c r="D226" t="s">
        <v>11</v>
      </c>
      <c r="E226" t="s">
        <v>727</v>
      </c>
      <c r="F226">
        <v>24000</v>
      </c>
      <c r="G226" t="s">
        <v>752</v>
      </c>
      <c r="H226" t="s">
        <v>753</v>
      </c>
      <c r="I226">
        <v>250</v>
      </c>
      <c r="J226">
        <v>335</v>
      </c>
      <c r="K226" t="s">
        <v>93</v>
      </c>
      <c r="L226" t="s">
        <v>12</v>
      </c>
      <c r="M226" t="s">
        <v>754</v>
      </c>
      <c r="N226" t="s">
        <v>754</v>
      </c>
      <c r="O226">
        <v>25</v>
      </c>
      <c r="P226">
        <v>25</v>
      </c>
      <c r="Q226">
        <v>600000</v>
      </c>
    </row>
    <row r="227" spans="1:17" x14ac:dyDescent="0.3">
      <c r="A227" t="s">
        <v>755</v>
      </c>
      <c r="B227" t="s">
        <v>483</v>
      </c>
      <c r="C227" t="s">
        <v>13</v>
      </c>
      <c r="D227" t="s">
        <v>11</v>
      </c>
      <c r="E227" t="s">
        <v>727</v>
      </c>
      <c r="F227">
        <v>57142</v>
      </c>
      <c r="G227" t="s">
        <v>26</v>
      </c>
      <c r="H227" t="s">
        <v>756</v>
      </c>
      <c r="I227">
        <v>315</v>
      </c>
      <c r="J227">
        <v>430</v>
      </c>
      <c r="K227" t="s">
        <v>97</v>
      </c>
      <c r="L227" t="s">
        <v>98</v>
      </c>
      <c r="M227" t="s">
        <v>757</v>
      </c>
      <c r="N227" t="s">
        <v>757</v>
      </c>
      <c r="O227">
        <v>8</v>
      </c>
      <c r="P227">
        <v>8</v>
      </c>
      <c r="Q227">
        <v>457136</v>
      </c>
    </row>
    <row r="228" spans="1:17" x14ac:dyDescent="0.3">
      <c r="A228" t="s">
        <v>758</v>
      </c>
      <c r="B228" t="s">
        <v>483</v>
      </c>
      <c r="C228" t="s">
        <v>13</v>
      </c>
      <c r="D228" t="s">
        <v>11</v>
      </c>
      <c r="E228" t="s">
        <v>727</v>
      </c>
      <c r="F228">
        <v>30000</v>
      </c>
      <c r="G228" t="s">
        <v>22</v>
      </c>
      <c r="H228" t="s">
        <v>759</v>
      </c>
      <c r="I228">
        <v>200</v>
      </c>
      <c r="J228">
        <v>300</v>
      </c>
      <c r="K228" t="s">
        <v>93</v>
      </c>
      <c r="L228" t="s">
        <v>12</v>
      </c>
      <c r="M228" t="s">
        <v>743</v>
      </c>
      <c r="N228" t="s">
        <v>743</v>
      </c>
      <c r="O228">
        <v>20</v>
      </c>
      <c r="P228">
        <v>20</v>
      </c>
      <c r="Q228">
        <v>600000</v>
      </c>
    </row>
    <row r="229" spans="1:17" x14ac:dyDescent="0.3">
      <c r="A229" t="s">
        <v>760</v>
      </c>
      <c r="B229" t="s">
        <v>483</v>
      </c>
      <c r="C229" t="s">
        <v>13</v>
      </c>
      <c r="D229" t="s">
        <v>11</v>
      </c>
      <c r="E229" t="s">
        <v>280</v>
      </c>
      <c r="F229">
        <v>60000</v>
      </c>
      <c r="G229" t="s">
        <v>761</v>
      </c>
      <c r="H229" t="s">
        <v>762</v>
      </c>
      <c r="I229">
        <v>100</v>
      </c>
      <c r="J229">
        <v>150</v>
      </c>
      <c r="K229" t="s">
        <v>93</v>
      </c>
      <c r="L229" t="s">
        <v>12</v>
      </c>
      <c r="M229" t="s">
        <v>763</v>
      </c>
      <c r="N229" t="s">
        <v>763</v>
      </c>
      <c r="O229">
        <v>10</v>
      </c>
      <c r="P229">
        <v>10</v>
      </c>
      <c r="Q229">
        <v>600000</v>
      </c>
    </row>
    <row r="230" spans="1:17" x14ac:dyDescent="0.3">
      <c r="A230" t="s">
        <v>764</v>
      </c>
      <c r="B230" t="s">
        <v>283</v>
      </c>
      <c r="C230" t="s">
        <v>10</v>
      </c>
      <c r="D230" t="s">
        <v>11</v>
      </c>
      <c r="E230" t="s">
        <v>700</v>
      </c>
      <c r="F230">
        <v>40000</v>
      </c>
      <c r="G230" t="s">
        <v>85</v>
      </c>
      <c r="H230" t="s">
        <v>86</v>
      </c>
      <c r="I230">
        <v>300</v>
      </c>
      <c r="J230">
        <v>420</v>
      </c>
      <c r="K230" t="s">
        <v>97</v>
      </c>
      <c r="L230" t="s">
        <v>98</v>
      </c>
      <c r="M230" t="s">
        <v>149</v>
      </c>
      <c r="N230" t="s">
        <v>149</v>
      </c>
      <c r="O230">
        <v>8</v>
      </c>
      <c r="P230">
        <v>8</v>
      </c>
      <c r="Q230">
        <v>320000</v>
      </c>
    </row>
    <row r="231" spans="1:17" x14ac:dyDescent="0.3">
      <c r="A231" t="s">
        <v>765</v>
      </c>
      <c r="B231" t="s">
        <v>283</v>
      </c>
      <c r="C231" t="s">
        <v>10</v>
      </c>
      <c r="D231" t="s">
        <v>11</v>
      </c>
      <c r="E231" t="s">
        <v>640</v>
      </c>
      <c r="F231">
        <v>40000</v>
      </c>
      <c r="G231" t="s">
        <v>85</v>
      </c>
      <c r="H231" t="s">
        <v>86</v>
      </c>
      <c r="I231">
        <v>300</v>
      </c>
      <c r="J231">
        <v>420</v>
      </c>
      <c r="K231" t="s">
        <v>97</v>
      </c>
      <c r="L231" t="s">
        <v>98</v>
      </c>
      <c r="M231" t="s">
        <v>149</v>
      </c>
      <c r="N231" t="s">
        <v>149</v>
      </c>
      <c r="O231">
        <v>8</v>
      </c>
      <c r="P231">
        <v>8</v>
      </c>
      <c r="Q231">
        <v>320000</v>
      </c>
    </row>
    <row r="232" spans="1:17" x14ac:dyDescent="0.3">
      <c r="A232" t="s">
        <v>766</v>
      </c>
      <c r="B232" t="s">
        <v>483</v>
      </c>
      <c r="C232" t="s">
        <v>13</v>
      </c>
      <c r="D232" t="s">
        <v>11</v>
      </c>
      <c r="E232" t="s">
        <v>700</v>
      </c>
      <c r="F232">
        <v>26086</v>
      </c>
      <c r="G232" t="s">
        <v>767</v>
      </c>
      <c r="H232" t="s">
        <v>768</v>
      </c>
      <c r="I232">
        <v>230</v>
      </c>
      <c r="J232">
        <v>510</v>
      </c>
      <c r="K232" t="s">
        <v>97</v>
      </c>
      <c r="L232" t="s">
        <v>98</v>
      </c>
      <c r="M232" t="s">
        <v>769</v>
      </c>
      <c r="N232" t="s">
        <v>769</v>
      </c>
      <c r="O232">
        <v>6</v>
      </c>
      <c r="P232">
        <v>6</v>
      </c>
      <c r="Q232">
        <v>156516</v>
      </c>
    </row>
    <row r="233" spans="1:17" x14ac:dyDescent="0.3">
      <c r="A233" t="s">
        <v>770</v>
      </c>
      <c r="B233" t="s">
        <v>483</v>
      </c>
      <c r="C233" t="s">
        <v>13</v>
      </c>
      <c r="D233" t="s">
        <v>11</v>
      </c>
      <c r="E233" t="s">
        <v>727</v>
      </c>
      <c r="F233">
        <v>5300</v>
      </c>
      <c r="G233" t="s">
        <v>87</v>
      </c>
      <c r="H233" t="s">
        <v>111</v>
      </c>
      <c r="I233">
        <v>160</v>
      </c>
      <c r="J233">
        <v>200</v>
      </c>
      <c r="K233" t="s">
        <v>97</v>
      </c>
      <c r="L233" t="s">
        <v>98</v>
      </c>
      <c r="M233" t="s">
        <v>163</v>
      </c>
      <c r="N233" t="s">
        <v>163</v>
      </c>
      <c r="O233">
        <v>5</v>
      </c>
      <c r="P233">
        <v>5</v>
      </c>
      <c r="Q233">
        <v>26500</v>
      </c>
    </row>
    <row r="234" spans="1:17" x14ac:dyDescent="0.3">
      <c r="A234" t="s">
        <v>771</v>
      </c>
      <c r="B234" t="s">
        <v>483</v>
      </c>
      <c r="C234" t="s">
        <v>13</v>
      </c>
      <c r="D234" t="s">
        <v>11</v>
      </c>
      <c r="E234" t="s">
        <v>700</v>
      </c>
      <c r="F234">
        <v>30500</v>
      </c>
      <c r="G234" t="s">
        <v>87</v>
      </c>
      <c r="H234" t="s">
        <v>111</v>
      </c>
      <c r="I234">
        <v>160</v>
      </c>
      <c r="J234">
        <v>200</v>
      </c>
      <c r="K234" t="s">
        <v>97</v>
      </c>
      <c r="L234" t="s">
        <v>98</v>
      </c>
      <c r="M234" t="s">
        <v>163</v>
      </c>
      <c r="N234" t="s">
        <v>163</v>
      </c>
      <c r="O234">
        <v>5</v>
      </c>
      <c r="P234">
        <v>5</v>
      </c>
      <c r="Q234">
        <v>152500</v>
      </c>
    </row>
    <row r="235" spans="1:17" x14ac:dyDescent="0.3">
      <c r="A235" t="s">
        <v>772</v>
      </c>
      <c r="B235" t="s">
        <v>483</v>
      </c>
      <c r="C235" t="s">
        <v>13</v>
      </c>
      <c r="D235" t="s">
        <v>11</v>
      </c>
      <c r="E235" t="s">
        <v>700</v>
      </c>
      <c r="F235">
        <v>61500</v>
      </c>
      <c r="G235" t="s">
        <v>87</v>
      </c>
      <c r="H235" t="s">
        <v>111</v>
      </c>
      <c r="I235">
        <v>160</v>
      </c>
      <c r="J235">
        <v>200</v>
      </c>
      <c r="K235" t="s">
        <v>97</v>
      </c>
      <c r="L235" t="s">
        <v>98</v>
      </c>
      <c r="M235" t="s">
        <v>163</v>
      </c>
      <c r="N235" t="s">
        <v>163</v>
      </c>
      <c r="O235">
        <v>5</v>
      </c>
      <c r="P235">
        <v>5</v>
      </c>
      <c r="Q235">
        <v>307500</v>
      </c>
    </row>
    <row r="236" spans="1:17" x14ac:dyDescent="0.3">
      <c r="A236" t="s">
        <v>773</v>
      </c>
      <c r="B236" t="s">
        <v>483</v>
      </c>
      <c r="C236" t="s">
        <v>13</v>
      </c>
      <c r="D236" t="s">
        <v>11</v>
      </c>
      <c r="E236" t="s">
        <v>700</v>
      </c>
      <c r="F236">
        <v>35294</v>
      </c>
      <c r="G236" t="s">
        <v>15</v>
      </c>
      <c r="H236" t="s">
        <v>774</v>
      </c>
      <c r="I236">
        <v>170</v>
      </c>
      <c r="J236">
        <v>310</v>
      </c>
      <c r="K236" t="s">
        <v>93</v>
      </c>
      <c r="L236" t="s">
        <v>12</v>
      </c>
      <c r="M236" t="s">
        <v>188</v>
      </c>
      <c r="N236" t="s">
        <v>188</v>
      </c>
      <c r="O236">
        <v>17</v>
      </c>
      <c r="P236">
        <v>17</v>
      </c>
      <c r="Q236">
        <v>599998</v>
      </c>
    </row>
    <row r="237" spans="1:17" x14ac:dyDescent="0.3">
      <c r="A237" t="s">
        <v>775</v>
      </c>
      <c r="B237" t="s">
        <v>283</v>
      </c>
      <c r="C237" t="s">
        <v>10</v>
      </c>
      <c r="D237" t="s">
        <v>11</v>
      </c>
      <c r="E237" t="s">
        <v>650</v>
      </c>
      <c r="F237">
        <v>48000</v>
      </c>
      <c r="G237" t="s">
        <v>30</v>
      </c>
      <c r="H237" t="s">
        <v>504</v>
      </c>
      <c r="I237">
        <v>250</v>
      </c>
      <c r="J237">
        <v>280</v>
      </c>
      <c r="K237" t="s">
        <v>93</v>
      </c>
      <c r="L237" t="s">
        <v>12</v>
      </c>
      <c r="M237" t="s">
        <v>160</v>
      </c>
      <c r="N237" t="s">
        <v>160</v>
      </c>
      <c r="O237">
        <v>25</v>
      </c>
      <c r="P237">
        <v>25</v>
      </c>
      <c r="Q237">
        <v>1200000</v>
      </c>
    </row>
    <row r="238" spans="1:17" x14ac:dyDescent="0.3">
      <c r="A238" t="s">
        <v>776</v>
      </c>
      <c r="B238" t="s">
        <v>483</v>
      </c>
      <c r="C238" t="s">
        <v>13</v>
      </c>
      <c r="D238" t="s">
        <v>11</v>
      </c>
      <c r="E238" t="s">
        <v>700</v>
      </c>
      <c r="F238">
        <v>30000</v>
      </c>
      <c r="G238" t="s">
        <v>25</v>
      </c>
      <c r="H238" t="s">
        <v>777</v>
      </c>
      <c r="I238">
        <v>200</v>
      </c>
      <c r="J238">
        <v>280</v>
      </c>
      <c r="K238" t="s">
        <v>97</v>
      </c>
      <c r="L238" t="s">
        <v>98</v>
      </c>
      <c r="M238" t="s">
        <v>778</v>
      </c>
      <c r="N238" t="s">
        <v>778</v>
      </c>
      <c r="O238">
        <v>5</v>
      </c>
      <c r="P238">
        <v>5</v>
      </c>
      <c r="Q238">
        <v>150000</v>
      </c>
    </row>
    <row r="239" spans="1:17" x14ac:dyDescent="0.3">
      <c r="A239" t="s">
        <v>779</v>
      </c>
      <c r="B239" t="s">
        <v>483</v>
      </c>
      <c r="C239" t="s">
        <v>13</v>
      </c>
      <c r="D239" t="s">
        <v>11</v>
      </c>
      <c r="E239" t="s">
        <v>700</v>
      </c>
      <c r="F239">
        <v>30000</v>
      </c>
      <c r="G239" t="s">
        <v>25</v>
      </c>
      <c r="H239" t="s">
        <v>777</v>
      </c>
      <c r="I239">
        <v>200</v>
      </c>
      <c r="J239">
        <v>280</v>
      </c>
      <c r="K239" t="s">
        <v>97</v>
      </c>
      <c r="L239" t="s">
        <v>98</v>
      </c>
      <c r="M239" t="s">
        <v>778</v>
      </c>
      <c r="N239" t="s">
        <v>778</v>
      </c>
      <c r="O239">
        <v>5</v>
      </c>
      <c r="P239">
        <v>5</v>
      </c>
      <c r="Q239">
        <v>150000</v>
      </c>
    </row>
    <row r="240" spans="1:17" x14ac:dyDescent="0.3">
      <c r="A240" t="s">
        <v>780</v>
      </c>
      <c r="B240" t="s">
        <v>483</v>
      </c>
      <c r="C240" t="s">
        <v>18</v>
      </c>
      <c r="D240" t="s">
        <v>11</v>
      </c>
      <c r="E240" t="s">
        <v>700</v>
      </c>
      <c r="F240">
        <v>16216</v>
      </c>
      <c r="G240" t="s">
        <v>25</v>
      </c>
      <c r="H240" t="s">
        <v>748</v>
      </c>
      <c r="I240">
        <v>370</v>
      </c>
      <c r="J240">
        <v>280</v>
      </c>
      <c r="K240" t="s">
        <v>97</v>
      </c>
      <c r="L240" t="s">
        <v>98</v>
      </c>
      <c r="M240" t="s">
        <v>749</v>
      </c>
      <c r="N240" t="s">
        <v>749</v>
      </c>
      <c r="O240">
        <v>10</v>
      </c>
      <c r="P240">
        <v>10</v>
      </c>
      <c r="Q240">
        <v>162160</v>
      </c>
    </row>
    <row r="241" spans="1:17" x14ac:dyDescent="0.3">
      <c r="A241" t="s">
        <v>781</v>
      </c>
      <c r="B241" t="s">
        <v>526</v>
      </c>
      <c r="C241" t="s">
        <v>13</v>
      </c>
      <c r="D241" t="s">
        <v>11</v>
      </c>
      <c r="E241" t="s">
        <v>782</v>
      </c>
      <c r="F241">
        <v>33333</v>
      </c>
      <c r="G241" t="s">
        <v>442</v>
      </c>
      <c r="H241" t="s">
        <v>467</v>
      </c>
      <c r="I241">
        <v>180</v>
      </c>
      <c r="J241">
        <v>260</v>
      </c>
      <c r="K241" t="s">
        <v>133</v>
      </c>
      <c r="L241" t="s">
        <v>32</v>
      </c>
      <c r="M241" t="s">
        <v>468</v>
      </c>
      <c r="N241" t="s">
        <v>468</v>
      </c>
      <c r="O241">
        <v>18</v>
      </c>
      <c r="P241">
        <v>18</v>
      </c>
      <c r="Q241">
        <v>599994</v>
      </c>
    </row>
    <row r="242" spans="1:17" x14ac:dyDescent="0.3">
      <c r="A242" t="s">
        <v>783</v>
      </c>
      <c r="B242" t="s">
        <v>526</v>
      </c>
      <c r="C242" t="s">
        <v>13</v>
      </c>
      <c r="D242" t="s">
        <v>11</v>
      </c>
      <c r="E242" t="s">
        <v>782</v>
      </c>
      <c r="F242">
        <v>40000</v>
      </c>
      <c r="G242" t="s">
        <v>121</v>
      </c>
      <c r="H242" t="s">
        <v>122</v>
      </c>
      <c r="I242">
        <v>300</v>
      </c>
      <c r="J242">
        <v>405</v>
      </c>
      <c r="K242" t="s">
        <v>97</v>
      </c>
      <c r="L242" t="s">
        <v>98</v>
      </c>
      <c r="M242" t="s">
        <v>145</v>
      </c>
      <c r="N242" t="s">
        <v>145</v>
      </c>
      <c r="O242">
        <v>8</v>
      </c>
      <c r="P242">
        <v>8</v>
      </c>
      <c r="Q242">
        <v>320000</v>
      </c>
    </row>
    <row r="243" spans="1:17" x14ac:dyDescent="0.3">
      <c r="A243" t="s">
        <v>784</v>
      </c>
      <c r="B243" t="s">
        <v>526</v>
      </c>
      <c r="C243" t="s">
        <v>18</v>
      </c>
      <c r="D243" t="s">
        <v>11</v>
      </c>
      <c r="E243" t="s">
        <v>782</v>
      </c>
      <c r="F243">
        <v>11428</v>
      </c>
      <c r="G243" t="s">
        <v>28</v>
      </c>
      <c r="H243" t="s">
        <v>785</v>
      </c>
      <c r="I243">
        <v>210</v>
      </c>
      <c r="J243">
        <v>525</v>
      </c>
      <c r="K243" t="s">
        <v>94</v>
      </c>
      <c r="L243" t="s">
        <v>95</v>
      </c>
      <c r="M243" t="s">
        <v>786</v>
      </c>
      <c r="N243" t="s">
        <v>787</v>
      </c>
      <c r="O243">
        <v>12</v>
      </c>
      <c r="P243">
        <v>12</v>
      </c>
      <c r="Q243">
        <v>137136</v>
      </c>
    </row>
    <row r="244" spans="1:17" x14ac:dyDescent="0.3">
      <c r="A244" t="s">
        <v>788</v>
      </c>
      <c r="B244" t="s">
        <v>239</v>
      </c>
      <c r="C244" t="s">
        <v>13</v>
      </c>
      <c r="D244" t="s">
        <v>11</v>
      </c>
      <c r="E244" t="s">
        <v>694</v>
      </c>
      <c r="F244">
        <v>35294</v>
      </c>
      <c r="G244" t="s">
        <v>17</v>
      </c>
      <c r="H244" t="s">
        <v>789</v>
      </c>
      <c r="I244">
        <v>170</v>
      </c>
      <c r="J244">
        <v>270</v>
      </c>
      <c r="K244" t="s">
        <v>97</v>
      </c>
      <c r="L244" t="s">
        <v>98</v>
      </c>
      <c r="M244" t="s">
        <v>790</v>
      </c>
      <c r="N244" t="s">
        <v>790</v>
      </c>
      <c r="O244">
        <v>5</v>
      </c>
      <c r="P244">
        <v>5</v>
      </c>
      <c r="Q244">
        <v>176470</v>
      </c>
    </row>
    <row r="245" spans="1:17" x14ac:dyDescent="0.3">
      <c r="A245" t="s">
        <v>791</v>
      </c>
      <c r="B245" t="s">
        <v>239</v>
      </c>
      <c r="C245" t="s">
        <v>18</v>
      </c>
      <c r="D245" t="s">
        <v>11</v>
      </c>
      <c r="E245" t="s">
        <v>694</v>
      </c>
      <c r="F245">
        <v>17142</v>
      </c>
      <c r="G245" t="s">
        <v>42</v>
      </c>
      <c r="H245" t="s">
        <v>516</v>
      </c>
      <c r="I245">
        <v>350</v>
      </c>
      <c r="J245">
        <v>450</v>
      </c>
      <c r="K245" t="s">
        <v>92</v>
      </c>
      <c r="L245" t="s">
        <v>36</v>
      </c>
      <c r="M245" t="s">
        <v>792</v>
      </c>
      <c r="N245" t="s">
        <v>792</v>
      </c>
      <c r="O245">
        <v>9</v>
      </c>
      <c r="P245">
        <v>9.5</v>
      </c>
      <c r="Q245">
        <v>162849</v>
      </c>
    </row>
    <row r="246" spans="1:17" x14ac:dyDescent="0.3">
      <c r="A246" t="s">
        <v>793</v>
      </c>
      <c r="B246" t="s">
        <v>239</v>
      </c>
      <c r="C246" t="s">
        <v>13</v>
      </c>
      <c r="D246" t="s">
        <v>11</v>
      </c>
      <c r="E246" t="s">
        <v>782</v>
      </c>
      <c r="F246">
        <v>31578</v>
      </c>
      <c r="G246" t="s">
        <v>17</v>
      </c>
      <c r="H246" t="s">
        <v>794</v>
      </c>
      <c r="I246">
        <v>190</v>
      </c>
      <c r="J246">
        <v>270</v>
      </c>
      <c r="K246" t="s">
        <v>97</v>
      </c>
      <c r="L246" t="s">
        <v>98</v>
      </c>
      <c r="M246" t="s">
        <v>795</v>
      </c>
      <c r="N246" t="s">
        <v>795</v>
      </c>
      <c r="O246">
        <v>5</v>
      </c>
      <c r="P246">
        <v>5</v>
      </c>
      <c r="Q246">
        <v>157890</v>
      </c>
    </row>
    <row r="247" spans="1:17" x14ac:dyDescent="0.3">
      <c r="A247" t="s">
        <v>796</v>
      </c>
      <c r="B247" t="s">
        <v>239</v>
      </c>
      <c r="C247" t="s">
        <v>10</v>
      </c>
      <c r="D247" t="s">
        <v>11</v>
      </c>
      <c r="E247" t="s">
        <v>700</v>
      </c>
      <c r="F247">
        <v>30000</v>
      </c>
      <c r="G247" t="s">
        <v>107</v>
      </c>
      <c r="H247" t="s">
        <v>797</v>
      </c>
      <c r="I247">
        <v>200</v>
      </c>
      <c r="J247">
        <v>255</v>
      </c>
      <c r="K247" t="s">
        <v>97</v>
      </c>
      <c r="L247" t="s">
        <v>98</v>
      </c>
      <c r="M247" t="s">
        <v>798</v>
      </c>
      <c r="N247" t="s">
        <v>798</v>
      </c>
      <c r="O247">
        <v>5</v>
      </c>
      <c r="P247">
        <v>5</v>
      </c>
      <c r="Q247">
        <v>150000</v>
      </c>
    </row>
    <row r="248" spans="1:17" x14ac:dyDescent="0.3">
      <c r="A248" t="s">
        <v>799</v>
      </c>
      <c r="B248" t="s">
        <v>239</v>
      </c>
      <c r="C248" t="s">
        <v>10</v>
      </c>
      <c r="D248" t="s">
        <v>11</v>
      </c>
      <c r="E248" t="s">
        <v>694</v>
      </c>
      <c r="F248">
        <v>22222</v>
      </c>
      <c r="G248" t="s">
        <v>64</v>
      </c>
      <c r="H248" t="s">
        <v>800</v>
      </c>
      <c r="I248">
        <v>270</v>
      </c>
      <c r="J248">
        <v>380</v>
      </c>
      <c r="K248" t="s">
        <v>93</v>
      </c>
      <c r="L248" t="s">
        <v>12</v>
      </c>
      <c r="M248" t="s">
        <v>801</v>
      </c>
      <c r="N248" t="s">
        <v>801</v>
      </c>
      <c r="O248">
        <v>27</v>
      </c>
      <c r="P248">
        <v>27</v>
      </c>
      <c r="Q248">
        <v>599994</v>
      </c>
    </row>
    <row r="249" spans="1:17" x14ac:dyDescent="0.3">
      <c r="A249" t="s">
        <v>802</v>
      </c>
      <c r="B249" t="s">
        <v>239</v>
      </c>
      <c r="C249" t="s">
        <v>13</v>
      </c>
      <c r="D249" t="s">
        <v>11</v>
      </c>
      <c r="E249" t="s">
        <v>694</v>
      </c>
      <c r="F249">
        <v>7500</v>
      </c>
      <c r="G249" t="s">
        <v>42</v>
      </c>
      <c r="H249" t="s">
        <v>803</v>
      </c>
      <c r="I249">
        <v>280</v>
      </c>
      <c r="J249">
        <v>800</v>
      </c>
      <c r="K249" t="s">
        <v>94</v>
      </c>
      <c r="L249" t="s">
        <v>95</v>
      </c>
      <c r="M249" t="s">
        <v>804</v>
      </c>
      <c r="N249" t="s">
        <v>805</v>
      </c>
      <c r="O249">
        <v>18</v>
      </c>
      <c r="P249">
        <v>18</v>
      </c>
      <c r="Q249">
        <v>135000</v>
      </c>
    </row>
    <row r="250" spans="1:17" x14ac:dyDescent="0.3">
      <c r="A250" t="s">
        <v>806</v>
      </c>
      <c r="B250" t="s">
        <v>239</v>
      </c>
      <c r="C250" t="s">
        <v>13</v>
      </c>
      <c r="D250" t="s">
        <v>11</v>
      </c>
      <c r="E250" t="s">
        <v>694</v>
      </c>
      <c r="F250">
        <v>8571</v>
      </c>
      <c r="G250" t="s">
        <v>42</v>
      </c>
      <c r="H250" t="s">
        <v>807</v>
      </c>
      <c r="I250">
        <v>280</v>
      </c>
      <c r="J250">
        <v>700</v>
      </c>
      <c r="K250" t="s">
        <v>94</v>
      </c>
      <c r="L250" t="s">
        <v>95</v>
      </c>
      <c r="M250" t="s">
        <v>804</v>
      </c>
      <c r="N250" t="s">
        <v>808</v>
      </c>
      <c r="O250">
        <v>16</v>
      </c>
      <c r="P250">
        <v>16</v>
      </c>
      <c r="Q250">
        <v>137136</v>
      </c>
    </row>
    <row r="251" spans="1:17" x14ac:dyDescent="0.3">
      <c r="A251" t="s">
        <v>809</v>
      </c>
      <c r="B251" t="s">
        <v>239</v>
      </c>
      <c r="C251" t="s">
        <v>13</v>
      </c>
      <c r="D251" t="s">
        <v>11</v>
      </c>
      <c r="E251" t="s">
        <v>694</v>
      </c>
      <c r="F251">
        <v>8571</v>
      </c>
      <c r="G251" t="s">
        <v>42</v>
      </c>
      <c r="H251" t="s">
        <v>810</v>
      </c>
      <c r="I251">
        <v>250</v>
      </c>
      <c r="J251">
        <v>700</v>
      </c>
      <c r="K251" t="s">
        <v>94</v>
      </c>
      <c r="L251" t="s">
        <v>95</v>
      </c>
      <c r="M251" t="s">
        <v>811</v>
      </c>
      <c r="N251" t="s">
        <v>808</v>
      </c>
      <c r="O251">
        <v>16</v>
      </c>
      <c r="P251">
        <v>16</v>
      </c>
      <c r="Q251">
        <v>137136</v>
      </c>
    </row>
    <row r="252" spans="1:17" x14ac:dyDescent="0.3">
      <c r="A252" t="s">
        <v>812</v>
      </c>
      <c r="B252" t="s">
        <v>239</v>
      </c>
      <c r="C252" t="s">
        <v>13</v>
      </c>
      <c r="D252" t="s">
        <v>11</v>
      </c>
      <c r="E252" t="s">
        <v>694</v>
      </c>
      <c r="F252">
        <v>10344</v>
      </c>
      <c r="G252" t="s">
        <v>42</v>
      </c>
      <c r="H252" t="s">
        <v>813</v>
      </c>
      <c r="I252">
        <v>250</v>
      </c>
      <c r="J252">
        <v>580</v>
      </c>
      <c r="K252" t="s">
        <v>94</v>
      </c>
      <c r="L252" t="s">
        <v>95</v>
      </c>
      <c r="M252" t="s">
        <v>811</v>
      </c>
      <c r="N252" t="s">
        <v>814</v>
      </c>
      <c r="O252">
        <v>12</v>
      </c>
      <c r="P252">
        <v>12</v>
      </c>
      <c r="Q252">
        <v>124128</v>
      </c>
    </row>
    <row r="253" spans="1:17" x14ac:dyDescent="0.3">
      <c r="A253" t="s">
        <v>815</v>
      </c>
      <c r="B253" t="s">
        <v>239</v>
      </c>
      <c r="C253" t="s">
        <v>13</v>
      </c>
      <c r="D253" t="s">
        <v>11</v>
      </c>
      <c r="E253" t="s">
        <v>694</v>
      </c>
      <c r="F253">
        <v>20000</v>
      </c>
      <c r="G253" t="s">
        <v>816</v>
      </c>
      <c r="H253" t="s">
        <v>817</v>
      </c>
      <c r="I253">
        <v>300</v>
      </c>
      <c r="J253">
        <v>420</v>
      </c>
      <c r="K253" t="s">
        <v>93</v>
      </c>
      <c r="L253" t="s">
        <v>12</v>
      </c>
      <c r="M253" t="s">
        <v>818</v>
      </c>
      <c r="N253" t="s">
        <v>818</v>
      </c>
      <c r="O253">
        <v>30</v>
      </c>
      <c r="P253">
        <v>30</v>
      </c>
      <c r="Q253">
        <v>600000</v>
      </c>
    </row>
    <row r="254" spans="1:17" x14ac:dyDescent="0.3">
      <c r="A254" t="s">
        <v>819</v>
      </c>
      <c r="B254" t="s">
        <v>239</v>
      </c>
      <c r="C254" t="s">
        <v>13</v>
      </c>
      <c r="D254" t="s">
        <v>11</v>
      </c>
      <c r="E254" t="s">
        <v>782</v>
      </c>
      <c r="F254">
        <v>22000</v>
      </c>
      <c r="G254" t="s">
        <v>820</v>
      </c>
      <c r="H254" t="s">
        <v>821</v>
      </c>
      <c r="I254">
        <v>200</v>
      </c>
      <c r="J254">
        <v>350</v>
      </c>
      <c r="K254" t="s">
        <v>97</v>
      </c>
      <c r="L254" t="s">
        <v>98</v>
      </c>
      <c r="M254" t="s">
        <v>822</v>
      </c>
      <c r="N254" t="s">
        <v>822</v>
      </c>
      <c r="O254">
        <v>5</v>
      </c>
      <c r="P254">
        <v>5</v>
      </c>
      <c r="Q254">
        <v>110000</v>
      </c>
    </row>
    <row r="255" spans="1:17" x14ac:dyDescent="0.3">
      <c r="A255" t="s">
        <v>823</v>
      </c>
      <c r="B255" t="s">
        <v>239</v>
      </c>
      <c r="C255" t="s">
        <v>13</v>
      </c>
      <c r="D255" t="s">
        <v>11</v>
      </c>
      <c r="E255" t="s">
        <v>700</v>
      </c>
      <c r="F255">
        <v>10000</v>
      </c>
      <c r="G255" t="s">
        <v>820</v>
      </c>
      <c r="H255" t="s">
        <v>824</v>
      </c>
      <c r="I255">
        <v>160</v>
      </c>
      <c r="J255">
        <v>350</v>
      </c>
      <c r="K255" t="s">
        <v>97</v>
      </c>
      <c r="L255" t="s">
        <v>98</v>
      </c>
      <c r="M255" t="s">
        <v>825</v>
      </c>
      <c r="N255" t="s">
        <v>825</v>
      </c>
      <c r="O255">
        <v>5</v>
      </c>
      <c r="P255">
        <v>5</v>
      </c>
      <c r="Q255">
        <v>50000</v>
      </c>
    </row>
    <row r="256" spans="1:17" x14ac:dyDescent="0.3">
      <c r="A256" t="s">
        <v>826</v>
      </c>
      <c r="B256" t="s">
        <v>239</v>
      </c>
      <c r="C256" t="s">
        <v>13</v>
      </c>
      <c r="D256" t="s">
        <v>11</v>
      </c>
      <c r="E256" t="s">
        <v>694</v>
      </c>
      <c r="F256">
        <v>8571</v>
      </c>
      <c r="G256" t="s">
        <v>23</v>
      </c>
      <c r="H256" t="s">
        <v>123</v>
      </c>
      <c r="I256">
        <v>270</v>
      </c>
      <c r="J256">
        <v>700</v>
      </c>
      <c r="K256" t="s">
        <v>94</v>
      </c>
      <c r="L256" t="s">
        <v>95</v>
      </c>
      <c r="M256" t="s">
        <v>169</v>
      </c>
      <c r="N256" t="s">
        <v>197</v>
      </c>
      <c r="O256">
        <v>16</v>
      </c>
      <c r="P256">
        <v>16</v>
      </c>
      <c r="Q256">
        <v>137136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B3:F35"/>
  <sheetViews>
    <sheetView workbookViewId="0">
      <selection activeCell="F9" sqref="F9"/>
    </sheetView>
  </sheetViews>
  <sheetFormatPr defaultRowHeight="16.5" x14ac:dyDescent="0.3"/>
  <cols>
    <col min="2" max="2" width="11.375" bestFit="1" customWidth="1"/>
    <col min="3" max="3" width="22.625" bestFit="1" customWidth="1"/>
    <col min="4" max="4" width="12.625" customWidth="1"/>
    <col min="5" max="5" width="21" bestFit="1" customWidth="1"/>
    <col min="6" max="6" width="22.625" bestFit="1" customWidth="1"/>
    <col min="7" max="7" width="21.375" bestFit="1" customWidth="1"/>
  </cols>
  <sheetData>
    <row r="3" spans="2:6" x14ac:dyDescent="0.3">
      <c r="B3" s="7" t="s">
        <v>375</v>
      </c>
      <c r="C3" s="7"/>
      <c r="E3" s="8" t="s">
        <v>376</v>
      </c>
      <c r="F3" s="9"/>
    </row>
    <row r="4" spans="2:6" x14ac:dyDescent="0.3">
      <c r="B4" s="7"/>
      <c r="C4" s="7"/>
      <c r="E4" s="10"/>
      <c r="F4" s="11"/>
    </row>
    <row r="6" spans="2:6" x14ac:dyDescent="0.3">
      <c r="B6" s="1" t="s">
        <v>74</v>
      </c>
      <c r="C6" s="2" t="s">
        <v>185</v>
      </c>
      <c r="E6" s="1" t="s">
        <v>74</v>
      </c>
      <c r="F6" s="2" t="s">
        <v>185</v>
      </c>
    </row>
    <row r="7" spans="2:6" x14ac:dyDescent="0.3">
      <c r="B7" s="2" t="s">
        <v>13</v>
      </c>
      <c r="C7" s="3">
        <v>111851613.09999999</v>
      </c>
      <c r="E7" s="2" t="s">
        <v>13</v>
      </c>
      <c r="F7" s="3">
        <v>111851613.09999999</v>
      </c>
    </row>
    <row r="8" spans="2:6" x14ac:dyDescent="0.3">
      <c r="B8" s="2" t="s">
        <v>18</v>
      </c>
      <c r="C8" s="3">
        <v>38106703.5</v>
      </c>
      <c r="E8" s="2" t="s">
        <v>132</v>
      </c>
      <c r="F8" s="3">
        <v>41372051</v>
      </c>
    </row>
    <row r="9" spans="2:6" x14ac:dyDescent="0.3">
      <c r="B9" s="2" t="s">
        <v>10</v>
      </c>
      <c r="C9" s="3">
        <v>38312254</v>
      </c>
      <c r="E9" s="2" t="s">
        <v>93</v>
      </c>
      <c r="F9" s="3">
        <v>25430123</v>
      </c>
    </row>
    <row r="10" spans="2:6" x14ac:dyDescent="0.3">
      <c r="B10" s="2" t="s">
        <v>73</v>
      </c>
      <c r="C10" s="3">
        <v>188270570.59999999</v>
      </c>
      <c r="E10" s="2" t="s">
        <v>92</v>
      </c>
      <c r="F10" s="3">
        <v>17874918.5</v>
      </c>
    </row>
    <row r="11" spans="2:6" x14ac:dyDescent="0.3">
      <c r="E11" s="2" t="s">
        <v>97</v>
      </c>
      <c r="F11" s="3">
        <v>13900586</v>
      </c>
    </row>
    <row r="12" spans="2:6" x14ac:dyDescent="0.3">
      <c r="E12" s="2" t="s">
        <v>133</v>
      </c>
      <c r="F12" s="3">
        <v>5682817</v>
      </c>
    </row>
    <row r="13" spans="2:6" x14ac:dyDescent="0.3">
      <c r="E13" s="2" t="s">
        <v>134</v>
      </c>
      <c r="F13" s="3">
        <v>3168000</v>
      </c>
    </row>
    <row r="14" spans="2:6" x14ac:dyDescent="0.3">
      <c r="E14" s="2" t="s">
        <v>94</v>
      </c>
      <c r="F14" s="3">
        <v>1725738</v>
      </c>
    </row>
    <row r="15" spans="2:6" x14ac:dyDescent="0.3">
      <c r="E15" s="2" t="s">
        <v>89</v>
      </c>
      <c r="F15" s="3">
        <v>1440000</v>
      </c>
    </row>
    <row r="16" spans="2:6" x14ac:dyDescent="0.3">
      <c r="E16" s="2" t="s">
        <v>721</v>
      </c>
      <c r="F16" s="3">
        <v>839991.6</v>
      </c>
    </row>
    <row r="17" spans="5:6" x14ac:dyDescent="0.3">
      <c r="E17" s="2" t="s">
        <v>96</v>
      </c>
      <c r="F17" s="3">
        <v>417388</v>
      </c>
    </row>
    <row r="18" spans="5:6" x14ac:dyDescent="0.3">
      <c r="E18" s="2" t="s">
        <v>18</v>
      </c>
      <c r="F18" s="3">
        <v>38106703.5</v>
      </c>
    </row>
    <row r="19" spans="5:6" x14ac:dyDescent="0.3">
      <c r="E19" s="2" t="s">
        <v>92</v>
      </c>
      <c r="F19" s="3">
        <v>15204631.5</v>
      </c>
    </row>
    <row r="20" spans="5:6" x14ac:dyDescent="0.3">
      <c r="E20" s="2" t="s">
        <v>132</v>
      </c>
      <c r="F20" s="3">
        <v>10079993</v>
      </c>
    </row>
    <row r="21" spans="5:6" x14ac:dyDescent="0.3">
      <c r="E21" s="2" t="s">
        <v>97</v>
      </c>
      <c r="F21" s="3">
        <v>4860654</v>
      </c>
    </row>
    <row r="22" spans="5:6" x14ac:dyDescent="0.3">
      <c r="E22" s="2" t="s">
        <v>93</v>
      </c>
      <c r="F22" s="3">
        <v>2989974</v>
      </c>
    </row>
    <row r="23" spans="5:6" x14ac:dyDescent="0.3">
      <c r="E23" s="2" t="s">
        <v>133</v>
      </c>
      <c r="F23" s="3">
        <v>2400000</v>
      </c>
    </row>
    <row r="24" spans="5:6" x14ac:dyDescent="0.3">
      <c r="E24" s="2" t="s">
        <v>94</v>
      </c>
      <c r="F24" s="3">
        <v>1634548</v>
      </c>
    </row>
    <row r="25" spans="5:6" x14ac:dyDescent="0.3">
      <c r="E25" s="2" t="s">
        <v>90</v>
      </c>
      <c r="F25" s="3">
        <v>936903</v>
      </c>
    </row>
    <row r="26" spans="5:6" x14ac:dyDescent="0.3">
      <c r="E26" s="2" t="s">
        <v>10</v>
      </c>
      <c r="F26" s="3">
        <v>38312254</v>
      </c>
    </row>
    <row r="27" spans="5:6" x14ac:dyDescent="0.3">
      <c r="E27" s="2" t="s">
        <v>93</v>
      </c>
      <c r="F27" s="3">
        <v>10382562</v>
      </c>
    </row>
    <row r="28" spans="5:6" x14ac:dyDescent="0.3">
      <c r="E28" s="2" t="s">
        <v>92</v>
      </c>
      <c r="F28" s="3">
        <v>9527674.5</v>
      </c>
    </row>
    <row r="29" spans="5:6" x14ac:dyDescent="0.3">
      <c r="E29" s="2" t="s">
        <v>97</v>
      </c>
      <c r="F29" s="3">
        <v>6115082</v>
      </c>
    </row>
    <row r="30" spans="5:6" x14ac:dyDescent="0.3">
      <c r="E30" s="2" t="s">
        <v>89</v>
      </c>
      <c r="F30" s="3">
        <v>5400000</v>
      </c>
    </row>
    <row r="31" spans="5:6" x14ac:dyDescent="0.3">
      <c r="E31" s="2" t="s">
        <v>96</v>
      </c>
      <c r="F31" s="3">
        <v>4372236</v>
      </c>
    </row>
    <row r="32" spans="5:6" x14ac:dyDescent="0.3">
      <c r="E32" s="2" t="s">
        <v>90</v>
      </c>
      <c r="F32" s="3">
        <v>1606150.5</v>
      </c>
    </row>
    <row r="33" spans="5:6" x14ac:dyDescent="0.3">
      <c r="E33" s="2" t="s">
        <v>94</v>
      </c>
      <c r="F33" s="3">
        <v>599984</v>
      </c>
    </row>
    <row r="34" spans="5:6" x14ac:dyDescent="0.3">
      <c r="E34" s="2" t="s">
        <v>827</v>
      </c>
      <c r="F34" s="3">
        <v>308565</v>
      </c>
    </row>
    <row r="35" spans="5:6" x14ac:dyDescent="0.3">
      <c r="E35" s="2" t="s">
        <v>73</v>
      </c>
      <c r="F35" s="3">
        <v>188270570.59999999</v>
      </c>
    </row>
  </sheetData>
  <mergeCells count="2">
    <mergeCell ref="B3:C4"/>
    <mergeCell ref="E3:F4"/>
  </mergeCells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1EC29B-B18B-4D44-A90E-42CDFAC850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대시보드</vt:lpstr>
      <vt:lpstr>12월쿼리</vt:lpstr>
      <vt:lpstr>쿼리_피벗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HongKyu Ryu</dc:creator>
  <cp:lastModifiedBy>HongKyu Ryu</cp:lastModifiedBy>
  <dcterms:created xsi:type="dcterms:W3CDTF">2024-11-03T07:53:25Z</dcterms:created>
  <dcterms:modified xsi:type="dcterms:W3CDTF">2024-12-19T06:12:20Z</dcterms:modified>
</cp:coreProperties>
</file>